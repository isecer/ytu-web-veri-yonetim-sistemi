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ncere\Desktop\"/>
    </mc:Choice>
  </mc:AlternateContent>
  <xr:revisionPtr revIDLastSave="0" documentId="13_ncr:1_{6E6707B0-48C5-4E2B-9D65-970BFF34C01A}" xr6:coauthVersionLast="41" xr6:coauthVersionMax="41" xr10:uidLastSave="{00000000-0000-0000-0000-000000000000}"/>
  <bookViews>
    <workbookView xWindow="-120" yWindow="-120" windowWidth="20640" windowHeight="11160" firstSheet="1" activeTab="2" xr2:uid="{00000000-000D-0000-FFFF-FFFF00000000}"/>
  </bookViews>
  <sheets>
    <sheet name="JuriKurumici" sheetId="5" r:id="rId1"/>
    <sheet name="BasvuruListesi" sheetId="6" r:id="rId2"/>
    <sheet name="YL Jüri" sheetId="2" r:id="rId3"/>
    <sheet name="YL Mezuniyet" sheetId="7" r:id="rId4"/>
    <sheet name="DR Jüri" sheetId="8" r:id="rId5"/>
    <sheet name="DR Mezuniyet" sheetId="9" r:id="rId6"/>
  </sheets>
  <definedNames>
    <definedName name="_xlnm._FilterDatabase" localSheetId="0" hidden="1">JuriKurumici!$A$1:$D$782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1" i="2" l="1"/>
  <c r="B10" i="8" l="1"/>
  <c r="B4" i="7"/>
  <c r="B11" i="9"/>
  <c r="B10" i="9"/>
  <c r="B9" i="9"/>
  <c r="B6" i="9"/>
  <c r="B5" i="9"/>
  <c r="D4" i="9"/>
  <c r="C4" i="9"/>
  <c r="B4" i="9"/>
  <c r="A4" i="9"/>
  <c r="D17" i="8"/>
  <c r="B17" i="8"/>
  <c r="D16" i="8"/>
  <c r="B16" i="8"/>
  <c r="D15" i="8"/>
  <c r="B15" i="8"/>
  <c r="D14" i="8"/>
  <c r="B14" i="8"/>
  <c r="B8" i="8"/>
  <c r="B7" i="8"/>
  <c r="B6" i="8"/>
  <c r="B5" i="8"/>
  <c r="D4" i="8"/>
  <c r="C4" i="8"/>
  <c r="B4" i="8"/>
  <c r="A4" i="8"/>
  <c r="B5" i="7"/>
  <c r="B6" i="7"/>
  <c r="B11" i="7"/>
  <c r="B10" i="7"/>
  <c r="B9" i="7"/>
  <c r="D4" i="7"/>
  <c r="C4" i="7"/>
  <c r="A4" i="7"/>
  <c r="B13" i="2" l="1"/>
  <c r="B14" i="2"/>
  <c r="B15" i="2"/>
  <c r="D13" i="2"/>
  <c r="D15" i="2"/>
  <c r="D14" i="2"/>
  <c r="D12" i="2"/>
  <c r="B5" i="2" l="1"/>
  <c r="B7" i="2" l="1"/>
  <c r="A4" i="2" l="1"/>
  <c r="B8" i="2" l="1"/>
  <c r="D4" i="2"/>
  <c r="C4" i="2"/>
  <c r="B4" i="2"/>
  <c r="B10" i="2" l="1"/>
  <c r="B6" i="2"/>
</calcChain>
</file>

<file path=xl/sharedStrings.xml><?xml version="1.0" encoding="utf-8"?>
<sst xmlns="http://schemas.openxmlformats.org/spreadsheetml/2006/main" count="9364" uniqueCount="3905">
  <si>
    <t>OgrenimTipAdi</t>
  </si>
  <si>
    <t>AnabilimdaliAdi</t>
  </si>
  <si>
    <t>ProgramAdi</t>
  </si>
  <si>
    <t>AdSoyad</t>
  </si>
  <si>
    <t>TcPasaPortNo</t>
  </si>
  <si>
    <t>OgrenciNo</t>
  </si>
  <si>
    <t>EMail</t>
  </si>
  <si>
    <t>CepTel</t>
  </si>
  <si>
    <t>GsisKayitTarihi</t>
  </si>
  <si>
    <t>MezuniyetYayinKontrolDurumAdi</t>
  </si>
  <si>
    <t>Tezli Yüksek Lisans</t>
  </si>
  <si>
    <t>Elektrik Tesisleri</t>
  </si>
  <si>
    <t>feyzaozcanf@gmail.com</t>
  </si>
  <si>
    <t>(0554) 322-2775</t>
  </si>
  <si>
    <t>Kabul Edildi</t>
  </si>
  <si>
    <t>m.cankaya77@yahoo.com.tr</t>
  </si>
  <si>
    <t>(0555) 625-2356</t>
  </si>
  <si>
    <t>kseyma.94@gmail.com</t>
  </si>
  <si>
    <t>(0531) 962-3277</t>
  </si>
  <si>
    <t>Makine Teorisi ve Kontrol</t>
  </si>
  <si>
    <t>aykutdana@gmail.com</t>
  </si>
  <si>
    <t>(0545) 767-6739</t>
  </si>
  <si>
    <t>Uzaktan Algılama ve CBS</t>
  </si>
  <si>
    <t>serdarr.kayaa@gmail.com</t>
  </si>
  <si>
    <t>(0507) 614-9461</t>
  </si>
  <si>
    <t>Biyomühendislik</t>
  </si>
  <si>
    <t>gizemddemirr11@gmail.com</t>
  </si>
  <si>
    <t>(0531) 511-5314</t>
  </si>
  <si>
    <t>Fen Bilgisi Eğitimi</t>
  </si>
  <si>
    <t>165A3005</t>
  </si>
  <si>
    <t>sntoprak@gmail.com</t>
  </si>
  <si>
    <t>(0507) 378-5676</t>
  </si>
  <si>
    <t>Mimarlık</t>
  </si>
  <si>
    <t>Mimari Tasarım</t>
  </si>
  <si>
    <t>ibrahimbakir@hotmail.com</t>
  </si>
  <si>
    <t>(0554) 348-5616</t>
  </si>
  <si>
    <t>Taslak</t>
  </si>
  <si>
    <t>Mobil Robotların Senkronizasyonu</t>
  </si>
  <si>
    <t>abduljabbarkhudhur@gmail.com</t>
  </si>
  <si>
    <t>(0537) 411-9588</t>
  </si>
  <si>
    <t>esraergin@outlook.com</t>
  </si>
  <si>
    <t>(0543) 593-6642</t>
  </si>
  <si>
    <t>Konut Üretimi ve Yapım Yönetimi</t>
  </si>
  <si>
    <t>mahmuthancakir@gmail.com</t>
  </si>
  <si>
    <t>(0532) 765-9403</t>
  </si>
  <si>
    <t>Yapı</t>
  </si>
  <si>
    <t>ozlem-erdogan94@hotmail.com</t>
  </si>
  <si>
    <t>(0538) 371-6292</t>
  </si>
  <si>
    <t>Bina Araştırma ve Planlama</t>
  </si>
  <si>
    <t>Olimpiyatların Kentsel Dönüşüm Üzerindeki Etkisi</t>
  </si>
  <si>
    <t>mervecelikka@gmail.com</t>
  </si>
  <si>
    <t>(0531) 083-4348</t>
  </si>
  <si>
    <t>Elektronik</t>
  </si>
  <si>
    <t>saatcitugba@yahoo.com</t>
  </si>
  <si>
    <t>(0505) 675-0497</t>
  </si>
  <si>
    <t>humeyrasenturk@gmail.com</t>
  </si>
  <si>
    <t>(0555) 874-1874</t>
  </si>
  <si>
    <t>Mikroalgler Kullanılarak Tasarlanan Fotobiyoreaktör Sistemlerinin Mimari Tasarım Disiplinine Aktarılmasındaki Sorunlar</t>
  </si>
  <si>
    <t>y.turanpekmezci@gmail.com</t>
  </si>
  <si>
    <t>(0554) 229-1038</t>
  </si>
  <si>
    <t>Farmakolojik Olarak Aktif Bileşenlerin Sentezi</t>
  </si>
  <si>
    <t>canancavass@gmail.com</t>
  </si>
  <si>
    <t>(0506) 884-8026</t>
  </si>
  <si>
    <t>Malzeme</t>
  </si>
  <si>
    <t>ozturk__serife@hotmail.com</t>
  </si>
  <si>
    <t>(0538) 322-2695</t>
  </si>
  <si>
    <t>Doktora</t>
  </si>
  <si>
    <t>Fizik</t>
  </si>
  <si>
    <t>sevinc7yildirim@gmail.com</t>
  </si>
  <si>
    <t>(0535) 729-8063</t>
  </si>
  <si>
    <t>Haberleşme</t>
  </si>
  <si>
    <t>banmoon99@gmail.com</t>
  </si>
  <si>
    <t>yusufbuzcu@gmail.com</t>
  </si>
  <si>
    <t>(0507) 610-7727</t>
  </si>
  <si>
    <t>ayla_minaz@hotmail.com</t>
  </si>
  <si>
    <t>(0543) 420-8559</t>
  </si>
  <si>
    <t>Renk Özelliği Kullanılmadan Nesne Hareket Tespiti Ve Görüntü İşleme İle Nesne Takibi</t>
  </si>
  <si>
    <t>uzunmehmet1988@hotmail.com</t>
  </si>
  <si>
    <t>(0539) 838-6708</t>
  </si>
  <si>
    <t>leventtemelkuran@gmail.com</t>
  </si>
  <si>
    <t>(0535) 899-2001</t>
  </si>
  <si>
    <t>Kısa, Orta Ve Uzun Dönem Kan Şeker Ölçümlerini Eş Zamanlı Gerçekleştiren Yeni Bir Ölçüm Yöntemi Geliştirilmesi</t>
  </si>
  <si>
    <t>duygu.uner1@gmail.com</t>
  </si>
  <si>
    <t>(0530) 222-9144</t>
  </si>
  <si>
    <t>umitgunes87@gmail.com</t>
  </si>
  <si>
    <t>(0506) 558-8033</t>
  </si>
  <si>
    <t>Elektrik Müh - Kontrol ve Otomasyon</t>
  </si>
  <si>
    <t>Dört Rotorlu Hava Araçlarıiçin Doğrusal Olmayan Kontrol Yöntemlerinin İncelenmesi</t>
  </si>
  <si>
    <t>fahed0999@gmail.com</t>
  </si>
  <si>
    <t>(0531) 610-5141</t>
  </si>
  <si>
    <t>Konstrüksiyon</t>
  </si>
  <si>
    <t>gokhansametkorkmaz@gmail.com</t>
  </si>
  <si>
    <t>(0505) 805-5871</t>
  </si>
  <si>
    <t>zgeece.erden@gmail.com</t>
  </si>
  <si>
    <t>(0506) 941-5144</t>
  </si>
  <si>
    <t>Nesnelerin Internetinde Kullanılan Haberleşme Protokollerinde Emniyet</t>
  </si>
  <si>
    <t>i.karademir@yandex.com</t>
  </si>
  <si>
    <t>(0537) 394-9882</t>
  </si>
  <si>
    <t>İnsansız Hava Araçlarında Kontrol Uygulamaları</t>
  </si>
  <si>
    <t>canercopur59@hotmail.com</t>
  </si>
  <si>
    <t>(0532) 765-6548</t>
  </si>
  <si>
    <t>alibekirsever@hotmail.com</t>
  </si>
  <si>
    <t>(0536) 568-7905</t>
  </si>
  <si>
    <t>bahaduramed@gmail.com</t>
  </si>
  <si>
    <t>(0551) 403-4368</t>
  </si>
  <si>
    <t>Matematik</t>
  </si>
  <si>
    <t>sumeyraelmaci@gmail.com</t>
  </si>
  <si>
    <t>(0507) 012-3894</t>
  </si>
  <si>
    <t>emr.cayir@gmail.com</t>
  </si>
  <si>
    <t>(5315) 179-149</t>
  </si>
  <si>
    <t>Kontrol Aşamasında</t>
  </si>
  <si>
    <t>emrahsapla@gmail.com</t>
  </si>
  <si>
    <t>(0505) 600-1046</t>
  </si>
  <si>
    <t>Elektrospin Yöntemi İle Üretilen Biyopolimerlerin Moleküler, Reolojik, Termomekanik, Biyoaktif Ve Morfolojik Karakterizasyonu</t>
  </si>
  <si>
    <t>n.b.ersoz@hotmail.com</t>
  </si>
  <si>
    <t>(0506) 256-5088</t>
  </si>
  <si>
    <t>sanliturkmehmet@gmail.com</t>
  </si>
  <si>
    <t>(0534) 565-2033</t>
  </si>
  <si>
    <t>Kıyı Alanlarında Nesne Tabanlı Sınıflandırma Yöntemi İle Zamansal Değişim Analizi</t>
  </si>
  <si>
    <t>pyrzkan@gmail.com</t>
  </si>
  <si>
    <t>(0536) 364-7517</t>
  </si>
  <si>
    <t>Jarlan Tipi Dalgakıranların İki Fazlı Sayısal Modellemesi</t>
  </si>
  <si>
    <t>cagkangucer@gmail.com</t>
  </si>
  <si>
    <t>(0538) 938-2526</t>
  </si>
  <si>
    <t>k.hisiroglu@gmail.com</t>
  </si>
  <si>
    <t>(5356) 849-587</t>
  </si>
  <si>
    <t>İstatistik</t>
  </si>
  <si>
    <t>nurankose@gmail.com</t>
  </si>
  <si>
    <t>(0507) 690-5768</t>
  </si>
  <si>
    <t>İmal Usulleri</t>
  </si>
  <si>
    <t>hazalorman@gmail.com</t>
  </si>
  <si>
    <t>(0549) 201-8481</t>
  </si>
  <si>
    <t>Mimarlık Tarihi ve Kuramı</t>
  </si>
  <si>
    <t>Terkos Su Yoluna Ait Yapılar</t>
  </si>
  <si>
    <t>devrimkocoglu@gmail.com</t>
  </si>
  <si>
    <t>(0530) 127-4209</t>
  </si>
  <si>
    <t>Bina Üretim Sürecinde Yapı Bilgi Modellemesi Tabanlı Risk Yönetimi</t>
  </si>
  <si>
    <t>dilaradabakoglu@gmail.com</t>
  </si>
  <si>
    <t>(0536) 599-3366</t>
  </si>
  <si>
    <t>yigit_ilgaz@hotmail.com</t>
  </si>
  <si>
    <t>(0535) 565-8971</t>
  </si>
  <si>
    <t>Bilgisayar Ortamında Mimarlık</t>
  </si>
  <si>
    <t>gokhanbunsuz@hotmail.com</t>
  </si>
  <si>
    <t>(0554) 848-5245</t>
  </si>
  <si>
    <t>Bina Aydınlatmasında Modern Aydınlatma Teknolojilerinin Kullanılması</t>
  </si>
  <si>
    <t>yasindemiroz@gmail.com</t>
  </si>
  <si>
    <t>(0534) 953-6373</t>
  </si>
  <si>
    <t>Finansal Yatırım Araçlarında Fiyat Tahmini</t>
  </si>
  <si>
    <t>serdar.turan@live.com</t>
  </si>
  <si>
    <t>(0554) 424-6692</t>
  </si>
  <si>
    <t>Mekanik</t>
  </si>
  <si>
    <t>Kompozit Kirişlerin Serbest Titreşim Frekanslarının İnterval Analizle Tespiti</t>
  </si>
  <si>
    <t>orhansenyener@hotmail.com</t>
  </si>
  <si>
    <t>(0530) 282-3530</t>
  </si>
  <si>
    <t>yakupkucuk@yandex.com</t>
  </si>
  <si>
    <t>(0535) 660-4586</t>
  </si>
  <si>
    <t>damla_ygt90@hotmail.com</t>
  </si>
  <si>
    <t>(0536) 499-9491</t>
  </si>
  <si>
    <t>İptal Edildi</t>
  </si>
  <si>
    <t>Yerel Eğrilikli Kompozit Kirişlerin Titreşim Analizi</t>
  </si>
  <si>
    <t>rivelinyoo@gmail.com</t>
  </si>
  <si>
    <t>(0532) 506-1755</t>
  </si>
  <si>
    <t>Açık Deniz Destek Gemisi Hasarsız Stabilite Kriterlerinin Farklı Klas Kurallarına Göre Karşılaştırmalı İncelenmesi</t>
  </si>
  <si>
    <t>osmanozen7@gmail.com</t>
  </si>
  <si>
    <t>(0554) 786-8473</t>
  </si>
  <si>
    <t>chatori@gmail.com</t>
  </si>
  <si>
    <t>(0532) 210-4722</t>
  </si>
  <si>
    <t>Kimya</t>
  </si>
  <si>
    <t>Analitik Kimya</t>
  </si>
  <si>
    <t>ecem.sen.ytu@gmail.com</t>
  </si>
  <si>
    <t>(0507) 880-7218</t>
  </si>
  <si>
    <t>Ulaştırma</t>
  </si>
  <si>
    <t>ugurcanbayram@windowslive.com</t>
  </si>
  <si>
    <t>(0541) 679-9067</t>
  </si>
  <si>
    <t>cemkarakaya7@gmail.com</t>
  </si>
  <si>
    <t>(0538) 913-6121</t>
  </si>
  <si>
    <t>cemckgz@gmail.com</t>
  </si>
  <si>
    <t>(0537) 507-5452</t>
  </si>
  <si>
    <t>Eski Tarihli Hava Fotoğrafları Kullanılarak Tarihi Yarımadada 3 Boyutlu Modelleme Olanaklarının Araştırılması</t>
  </si>
  <si>
    <t>zynpgylmz@gmail.com</t>
  </si>
  <si>
    <t>(0535) 552-5600</t>
  </si>
  <si>
    <t>dilaraonayli2@gmail.com</t>
  </si>
  <si>
    <t>(5363) 610-112</t>
  </si>
  <si>
    <t>Eminekomann@gmail.com</t>
  </si>
  <si>
    <t>(0533) 318-1637</t>
  </si>
  <si>
    <t>Moleküler Biyoloji ve Genetik</t>
  </si>
  <si>
    <t>molokaya@gmail.com</t>
  </si>
  <si>
    <t>(0506) 560-5817</t>
  </si>
  <si>
    <t>guldogan@yildiz.edu.tr</t>
  </si>
  <si>
    <t>(0541) 855-6819</t>
  </si>
  <si>
    <t>Yabancı Uyruklu Haberleşme</t>
  </si>
  <si>
    <t>nashgovere@gmail.com</t>
  </si>
  <si>
    <t>(0505) 417-2297</t>
  </si>
  <si>
    <t>Dört Rotorlu Bir İnsansız Hava Aracının Optimal Yörünge Kontrolü</t>
  </si>
  <si>
    <t>mibrahimagaoglu@gmail.com</t>
  </si>
  <si>
    <t>(0505) 447-8666</t>
  </si>
  <si>
    <t>Rölöve-Restorasyon</t>
  </si>
  <si>
    <t>yaseminakc@hotmail.com</t>
  </si>
  <si>
    <t>(0552) 285-1567</t>
  </si>
  <si>
    <t>murattunceriu@gmail.com</t>
  </si>
  <si>
    <t>(0506) 394-4516</t>
  </si>
  <si>
    <t>F0715035</t>
  </si>
  <si>
    <t>melis_ozsahin@hotmail.com</t>
  </si>
  <si>
    <t>(0533) 622-2988</t>
  </si>
  <si>
    <t>orcunsukru@gmail.com</t>
  </si>
  <si>
    <t>(0506) 650-8100</t>
  </si>
  <si>
    <t>Nöropatik Ağrı Tanı Ve Tedavisinde Kullanılacak Kortıkal Ölçev Sistemının Donanım Olarak Gerçeklenmesi</t>
  </si>
  <si>
    <t>coskun.kazma@gmail.com</t>
  </si>
  <si>
    <t>(0533) 562-7819</t>
  </si>
  <si>
    <t>Şehir ve Bölge Planlama</t>
  </si>
  <si>
    <t>Şehir Planlama</t>
  </si>
  <si>
    <t>Kentsel Dönüşümde Örgütlenme Kapasitesinin Kentsel Rekabet Gücüne Etkisi "Bayrampaşa Eski Cezaevi Kentsel Dönüşüm Projesi Örneği"</t>
  </si>
  <si>
    <t>murat.ayan257@gmail.com</t>
  </si>
  <si>
    <t>(0507) 287-6148</t>
  </si>
  <si>
    <t>ssura19@hotmail.com</t>
  </si>
  <si>
    <t>(0554) 433-5860</t>
  </si>
  <si>
    <t>Alüminyum Ekstrüzyon Profillerinde Görülen Hataların Analizi</t>
  </si>
  <si>
    <t>utkudemir134@gmail.com</t>
  </si>
  <si>
    <t>(0555) 205-3366</t>
  </si>
  <si>
    <t>Kemaliye Geleneksel Konutlarında Sistem Kuruluşunun İncelenmesi</t>
  </si>
  <si>
    <t>fatihhusrevoglu@gmail.com</t>
  </si>
  <si>
    <t>(0541) 638-3863</t>
  </si>
  <si>
    <t>liva.nurdan.isik@gmail.com</t>
  </si>
  <si>
    <t>(0506) 228-8890</t>
  </si>
  <si>
    <t>Telekomünikasyon Sektöründe Aboneliklerini İptal Edecek Müşterilerin Yapay Öğrenme Yöntemleri İle Tahmin Edilmesi</t>
  </si>
  <si>
    <t>aysesenyurek@gmail.com</t>
  </si>
  <si>
    <t>(0542) 561-1124</t>
  </si>
  <si>
    <t>gamzekayikci2609@gmail.com</t>
  </si>
  <si>
    <t>(0541) 267-1461</t>
  </si>
  <si>
    <t>Enerji</t>
  </si>
  <si>
    <t>rasit_gur@hotmail.com</t>
  </si>
  <si>
    <t>(0539) 582-6224</t>
  </si>
  <si>
    <t>karadeniz.olcay26@gmail.com</t>
  </si>
  <si>
    <t>(0507) 328-7555</t>
  </si>
  <si>
    <t>Plak Titreşimlerinin Aktif Kontrolü</t>
  </si>
  <si>
    <t>onurtuna95@gmail.com</t>
  </si>
  <si>
    <t>(0543) 474-2530</t>
  </si>
  <si>
    <t>mmervesensoz@gmail.com</t>
  </si>
  <si>
    <t>(0541) 881-1600</t>
  </si>
  <si>
    <t>Motorlu Taşıtlarda Kullanılan Ön Far Işık Kaynaklarının Sis Altında Performanslarının İncelenmesi</t>
  </si>
  <si>
    <t>taylansefer@gmail.com</t>
  </si>
  <si>
    <t>(0532) 267-2374</t>
  </si>
  <si>
    <t>sariogluse@gmail.com</t>
  </si>
  <si>
    <t>(0535) 617-2510</t>
  </si>
  <si>
    <t>Paralel Hibrit Elektrikli Araçlarda Enerji Yönetimi</t>
  </si>
  <si>
    <t>turgay.gucukoglu@gmail.com</t>
  </si>
  <si>
    <t>(0537) 515-7846</t>
  </si>
  <si>
    <t>elif.gelmez1@gmail.com</t>
  </si>
  <si>
    <t>(0536) 557-0806</t>
  </si>
  <si>
    <t>irem_arslan0@hotmail.com</t>
  </si>
  <si>
    <t>(0539) 271-0346</t>
  </si>
  <si>
    <t>Farklı Geometrik Yüzeylere Sahip Silindirler Etrafındaki Akışın Sayısal Olarak Modellenmesi</t>
  </si>
  <si>
    <t>enes_ozturk41@hotmail.com</t>
  </si>
  <si>
    <t>(0554) 269-6838</t>
  </si>
  <si>
    <t>tayfunkara07@gmail.com</t>
  </si>
  <si>
    <t>(0537) 882-0366</t>
  </si>
  <si>
    <t>kanalici.evren@gmail.com</t>
  </si>
  <si>
    <t>(0546) 812-0986</t>
  </si>
  <si>
    <t>volkan.bek@hotmail.com</t>
  </si>
  <si>
    <t>(0530) 580-0357</t>
  </si>
  <si>
    <t>Mimarlık Eğitiminde Enformel Çalışmaların Yeri</t>
  </si>
  <si>
    <t>imamogluneslihan@gmail.com</t>
  </si>
  <si>
    <t>(0533) 748-6804</t>
  </si>
  <si>
    <t>azizekicioglu@gmail.com</t>
  </si>
  <si>
    <t>(0532) 478-3810</t>
  </si>
  <si>
    <t>ozgergin88@gmail.com</t>
  </si>
  <si>
    <t>(0537) 435-5353</t>
  </si>
  <si>
    <t>ahmedarslanturk@gmail.com</t>
  </si>
  <si>
    <t>(0536) 958-3035</t>
  </si>
  <si>
    <t>skrebodzemal@gmail.com</t>
  </si>
  <si>
    <t>seyda.suludere@gmail.com</t>
  </si>
  <si>
    <t>(0545) 457-5256</t>
  </si>
  <si>
    <t>fevzifatihcakmak@gmail.com</t>
  </si>
  <si>
    <t>(0505) 160-7876</t>
  </si>
  <si>
    <t>eezgipolat@gmail.com</t>
  </si>
  <si>
    <t>(0536) 580-093</t>
  </si>
  <si>
    <t>Yatlarda Helikopter Güvertesi Yapısal Tasarımının Farklı Klas Kuruluşlarına Göre Karşılaştırılması</t>
  </si>
  <si>
    <t>mahircakmak@gmail.com</t>
  </si>
  <si>
    <t>(0555) 635-2458</t>
  </si>
  <si>
    <t>Tam Buğday Unlu Ekşi Hamurun Bisküvi Üretiminde Kullanımının Bisküvi Kalite Özelliklerine Etkisi</t>
  </si>
  <si>
    <t>tbalioglu@gmail.com</t>
  </si>
  <si>
    <t>Kentsel Mekan Organizasyon - Tasarım</t>
  </si>
  <si>
    <t>aysenurgurbetoglu@gmail.com</t>
  </si>
  <si>
    <t>(0549) 792-0377</t>
  </si>
  <si>
    <t>ceydakrtlms@gmail.com</t>
  </si>
  <si>
    <t>(0507) 346-7879</t>
  </si>
  <si>
    <t>serhatsonmez@yandex.com</t>
  </si>
  <si>
    <t>(0506) 497-0092</t>
  </si>
  <si>
    <t>Akrilamid Esaslı Hidrojellerin Su Absorpsiyonuna Farklı Monomerlerin Etkisinin Kinetik Olarak İncelenmesi</t>
  </si>
  <si>
    <t>aslihankucuk03@hotmail.com</t>
  </si>
  <si>
    <t>(0545) 868-5993</t>
  </si>
  <si>
    <t>f.s.bayraktar@hotmail.com</t>
  </si>
  <si>
    <t>(0554) 744-4334</t>
  </si>
  <si>
    <t>erenberk1991@gmail.com</t>
  </si>
  <si>
    <t>(0535) 632-2156</t>
  </si>
  <si>
    <t>eroglu.fatih@yahoo.com</t>
  </si>
  <si>
    <t>(0507) 447-8642</t>
  </si>
  <si>
    <t>faruktemelli@gmail.com</t>
  </si>
  <si>
    <t>(0531) 222-1565</t>
  </si>
  <si>
    <t>Yapı Fiziği</t>
  </si>
  <si>
    <t>taygunyuksel@gmail.com</t>
  </si>
  <si>
    <t>(0532) 167-8224</t>
  </si>
  <si>
    <t>orcun.balbas@gmail.com</t>
  </si>
  <si>
    <t>(0554) 528-1411</t>
  </si>
  <si>
    <t>emriye.ersogan@gmail.com</t>
  </si>
  <si>
    <t>(0507) 094-8614</t>
  </si>
  <si>
    <t>Çift Kavramalı Şanzımanın Sürünme Tork Kontrolü</t>
  </si>
  <si>
    <t>kozgokhan@yahoo.com</t>
  </si>
  <si>
    <t>(507) 760-2667</t>
  </si>
  <si>
    <t>sedaturpcu@hotmail.com</t>
  </si>
  <si>
    <t>(0554) 408-3678</t>
  </si>
  <si>
    <t>sifanevzat@gmail.com</t>
  </si>
  <si>
    <t>(0532) 575-4844</t>
  </si>
  <si>
    <t>eliff.ozenc@hotmail.com</t>
  </si>
  <si>
    <t>(538) 446-3887</t>
  </si>
  <si>
    <t>muberra.zeyrek@hotmail.com</t>
  </si>
  <si>
    <t>(0537) 264-3800</t>
  </si>
  <si>
    <t>serapyhan@gmail.com</t>
  </si>
  <si>
    <t>(0531) 850-2797</t>
  </si>
  <si>
    <t>melihturk88@gmail.com</t>
  </si>
  <si>
    <t>(0543) 399-6362</t>
  </si>
  <si>
    <t>bugrao@thy.com</t>
  </si>
  <si>
    <t>(0555) 039-3063</t>
  </si>
  <si>
    <t>onurcimen91@gmail.com</t>
  </si>
  <si>
    <t>(0555) 506-9597</t>
  </si>
  <si>
    <t>Kentsel Dönüşüm ve Planlama</t>
  </si>
  <si>
    <t>guzeldagferda@gmail.com</t>
  </si>
  <si>
    <t>(0532) 159-0689</t>
  </si>
  <si>
    <t>seckinuslu60@gmail.com</t>
  </si>
  <si>
    <t>(0537) 350-7464</t>
  </si>
  <si>
    <t>naz_dnc@hotmail.com</t>
  </si>
  <si>
    <t>(0530) 248-4095</t>
  </si>
  <si>
    <t>Camilerin Dış Aydınlatmalarının İncelenmesi</t>
  </si>
  <si>
    <t>pinarcvsgl@gmail.com</t>
  </si>
  <si>
    <t>(0505) 692-3490</t>
  </si>
  <si>
    <t>sariburcu@yahoo.com</t>
  </si>
  <si>
    <t>(0535) 457-7521</t>
  </si>
  <si>
    <t>furkanyurdakul@outlook.com.tr</t>
  </si>
  <si>
    <t>(0554) 351-2087</t>
  </si>
  <si>
    <t>mim.elifkebapci@gmail.com</t>
  </si>
  <si>
    <t>(0533) 418-0945</t>
  </si>
  <si>
    <t>iremeren91@gmail.com</t>
  </si>
  <si>
    <t>(0534) 304-5240</t>
  </si>
  <si>
    <t>Taşıyıcı Hafif Betonların Kullanım Olanakları</t>
  </si>
  <si>
    <t>canyenidogan@gmail.com</t>
  </si>
  <si>
    <t>(0535) 549-5427</t>
  </si>
  <si>
    <t>ahmeterdem_oner@yahoo.com</t>
  </si>
  <si>
    <t>(0542) 272-1982</t>
  </si>
  <si>
    <t>Organik Kimya</t>
  </si>
  <si>
    <t>karanlik.gurkan@gmail.com</t>
  </si>
  <si>
    <t>(0546) 808-2316</t>
  </si>
  <si>
    <t>mertyenidogan@gmail.com</t>
  </si>
  <si>
    <t>(5422) 122-984</t>
  </si>
  <si>
    <t>Sesli Tıbbi Raporların Yazıya Dönüştürülmesi</t>
  </si>
  <si>
    <t>zeynepgulhanuslu@gmail.com</t>
  </si>
  <si>
    <t>(0507) 628-9484</t>
  </si>
  <si>
    <t>isiksunguroyku@gmail.com</t>
  </si>
  <si>
    <t>(0542) 560-5223</t>
  </si>
  <si>
    <t>koccmustafa@gmail.com</t>
  </si>
  <si>
    <t>Alüminyum Alaşımlarının Sürtünme Karıştırma Kaynağında Kaynak Parametrelerinin Dikiş Kalitesine Etkileri</t>
  </si>
  <si>
    <t>hgsanseven@gmail.com</t>
  </si>
  <si>
    <t>(0533) 470-4426</t>
  </si>
  <si>
    <t>Üretim</t>
  </si>
  <si>
    <t>ibrahim.biliz@batman.edu.tr</t>
  </si>
  <si>
    <t>(0544) 922-5863</t>
  </si>
  <si>
    <t>Kentin, Mekansal Gelişmesinin Yönlendirilmesinde Stratejik Yaklaşım; Kentsel Tasarım-Projeler İlişkisi</t>
  </si>
  <si>
    <t>muge.faiz@gmail.com</t>
  </si>
  <si>
    <t>(0534) 261-1085</t>
  </si>
  <si>
    <t>Fen Bilgisi Eğitimi (İngilizce)</t>
  </si>
  <si>
    <t>165A5002</t>
  </si>
  <si>
    <t>mervecoban92@gmail.com</t>
  </si>
  <si>
    <t>(0537) 872-6511</t>
  </si>
  <si>
    <t>aksoyas@gmail.com</t>
  </si>
  <si>
    <t>(0530) 409-9744</t>
  </si>
  <si>
    <t>gizembuyukguner@gmail.com</t>
  </si>
  <si>
    <t>(0542) 405-6404</t>
  </si>
  <si>
    <t>aksugonca@gmail.com</t>
  </si>
  <si>
    <t>(0533) 259-6952</t>
  </si>
  <si>
    <t>dilaraaydin10@gmail.com</t>
  </si>
  <si>
    <t>(0545) 763-6900</t>
  </si>
  <si>
    <t>can_boz22@yahoo.com.tr</t>
  </si>
  <si>
    <t>(0542) 428-1366</t>
  </si>
  <si>
    <t>mustafa_cetindas@hotmail.com</t>
  </si>
  <si>
    <t>(0506) 361-3421</t>
  </si>
  <si>
    <t>Kimya (İngilizce)</t>
  </si>
  <si>
    <t>dlk.kcmz@gmail.com</t>
  </si>
  <si>
    <t>(0534) 953-3794</t>
  </si>
  <si>
    <t>numanozturk55@gmail.com</t>
  </si>
  <si>
    <t>(0534) 969-4243</t>
  </si>
  <si>
    <t>sbrylmz@yahoo.com</t>
  </si>
  <si>
    <t>(0533) 423-7409</t>
  </si>
  <si>
    <t>Dayanıklı Tüketim Sektöründe Satış Sonrası Servis Ağı Tasarımı: İstanbul İli İçin Bir Uygulama</t>
  </si>
  <si>
    <t>eyolver@gmail.com</t>
  </si>
  <si>
    <t>(0537) 403-4503</t>
  </si>
  <si>
    <t>haliloglu.muge@gmail.com</t>
  </si>
  <si>
    <t>(0532) 650-2388</t>
  </si>
  <si>
    <t>denizyazici8@gmail.com</t>
  </si>
  <si>
    <t>(0505) 597-8488</t>
  </si>
  <si>
    <t>mimar.meg@gmail.com</t>
  </si>
  <si>
    <t>(0537) 401-9976</t>
  </si>
  <si>
    <t>Engelli Bireyler İçin Ulaştırma Sistemlerinde Hizmet Kalitesi Araştırması</t>
  </si>
  <si>
    <t>adnanvarer@gmail.com</t>
  </si>
  <si>
    <t>(0506) 735-5086</t>
  </si>
  <si>
    <t>ugurdemirci87@gmail.com</t>
  </si>
  <si>
    <t>(0536) 679-4974</t>
  </si>
  <si>
    <t>Tarihi Kentsel Alanların Turizm Amaçlı Dönüşümü</t>
  </si>
  <si>
    <t>diclecelik29@gmail.com</t>
  </si>
  <si>
    <t>(0537) 522-9485</t>
  </si>
  <si>
    <t>İlköğretim Fen Bilgisi Eğitimi</t>
  </si>
  <si>
    <t>rukiye.bektas14@gmail.com</t>
  </si>
  <si>
    <t>(0538) 778-5978</t>
  </si>
  <si>
    <t>Nano Katkili Yağlayicilarin Segman Aşinmasina Etkisinin İncelenmesi</t>
  </si>
  <si>
    <t>ozgeebayko@gmail.com</t>
  </si>
  <si>
    <t>(0554) 211-8204</t>
  </si>
  <si>
    <t>dilannduman@gmail.com</t>
  </si>
  <si>
    <t>(0537) 788-4503</t>
  </si>
  <si>
    <t>Tarihi Kent Merkezlerinde Yoğunlaşan Turizm Etkinlikleri Neticesinde Ortaya Çıkan Sosyal Ve Mekansal Değişimlerin Tarihi Çevreye Etkileri</t>
  </si>
  <si>
    <t>kutluneydim@gmail.com</t>
  </si>
  <si>
    <t>(0507) 994-7460</t>
  </si>
  <si>
    <t>Yüz Tanıma Sistemlerinde Canlılık Analizi</t>
  </si>
  <si>
    <t>tugaybozik@hotmail.com</t>
  </si>
  <si>
    <t>(0535) 388-8659</t>
  </si>
  <si>
    <t>Arkelojik Sit Alanlarında Koruma Örtüsü Önerileri</t>
  </si>
  <si>
    <t>koksalbirce@gmail.com</t>
  </si>
  <si>
    <t>(0538) 848-1522</t>
  </si>
  <si>
    <t>ssimsek@yildiz.edu.tr</t>
  </si>
  <si>
    <t>(0505) 860-9849</t>
  </si>
  <si>
    <t>derya_tto@hotmail.com</t>
  </si>
  <si>
    <t>(0533) 379-2745</t>
  </si>
  <si>
    <t>halilsenturk23@gmail.com</t>
  </si>
  <si>
    <t>(0539) 667-0969</t>
  </si>
  <si>
    <t>zeynepelifsa@gmail.com</t>
  </si>
  <si>
    <t>(0507) 079-3727</t>
  </si>
  <si>
    <t>Ulaşım Mekanlarında Ağaçlandırmanın Mekan Organizasyonuna Etkileri</t>
  </si>
  <si>
    <t>eminekaratas34@gmail.com</t>
  </si>
  <si>
    <t>(0554) 355-2027</t>
  </si>
  <si>
    <t>hale_kayman@hotmail.com</t>
  </si>
  <si>
    <t>(0534) 609-6826</t>
  </si>
  <si>
    <t>en.vedatkaraman@gmail.com</t>
  </si>
  <si>
    <t>(0538) 499-7571</t>
  </si>
  <si>
    <t>esra.kasap.esra@gmail.com</t>
  </si>
  <si>
    <t>(0544) 492-6368</t>
  </si>
  <si>
    <t>gosenayzeynep@gmail.com</t>
  </si>
  <si>
    <t>(0538) 644-5302</t>
  </si>
  <si>
    <t>handekahraman11@gmail.com</t>
  </si>
  <si>
    <t>(0531) 776-4703</t>
  </si>
  <si>
    <t>Perakende Amaçlı Kullanım Dönüşümünün Yapı Tipolojileri Üzerinden İncelenmesi</t>
  </si>
  <si>
    <t>iremersan@hotmail.com</t>
  </si>
  <si>
    <t>(0532) 237-1988</t>
  </si>
  <si>
    <t>Isı Proses</t>
  </si>
  <si>
    <t>Konfor Şartlarına Uygun Hava Sirkülasyonu Sağlayan Otobüs Hava Kanalı Geometrisi Tasarımı</t>
  </si>
  <si>
    <t>tugbayurtseven.ty@gmail.com</t>
  </si>
  <si>
    <t>(0544) 284-4098</t>
  </si>
  <si>
    <t>gunesgencer@hotmail.com</t>
  </si>
  <si>
    <t>(0536) 981-7144</t>
  </si>
  <si>
    <t>elifpala3435@mail.com</t>
  </si>
  <si>
    <t>sedaerdonmez@gmail.com</t>
  </si>
  <si>
    <t>(5346) 400-201</t>
  </si>
  <si>
    <t>Bina Cephelerinde Görsel Etki Çözümlemesi</t>
  </si>
  <si>
    <t>ervatalay@gmail.com</t>
  </si>
  <si>
    <t>(0534) 087-6230</t>
  </si>
  <si>
    <t>Aydınlatma Tasarımında Bilgisayar Programlarının Yeri</t>
  </si>
  <si>
    <t>sbaranyucel@gmail.com</t>
  </si>
  <si>
    <t>(0507) 927-7100</t>
  </si>
  <si>
    <t>didem.aktas1992@gmail.com</t>
  </si>
  <si>
    <t>(0545) 450-9780</t>
  </si>
  <si>
    <t>ozlem.calipso@gmail.com</t>
  </si>
  <si>
    <t>(0533) 428-8597</t>
  </si>
  <si>
    <t>Geoteknik</t>
  </si>
  <si>
    <t>alperkoyuturk@gmail.com</t>
  </si>
  <si>
    <t>(0533) 370-1831</t>
  </si>
  <si>
    <t>muratcobanoglu@msn.com</t>
  </si>
  <si>
    <t>(0505) 481-0085</t>
  </si>
  <si>
    <t>cyazicioglu53@gmail.com</t>
  </si>
  <si>
    <t>(0534) 572-5423</t>
  </si>
  <si>
    <t>nesimdogus@gmail.com</t>
  </si>
  <si>
    <t>(0537) 932-0784</t>
  </si>
  <si>
    <t>Kentsel Koruma ve Planlama</t>
  </si>
  <si>
    <t>Yaşam Koşullarındaki Değişimin Tarihi Yerleşimler Üzerindeki Etkileri, Muğla Örneği</t>
  </si>
  <si>
    <t>sselindemirel@gmail.com</t>
  </si>
  <si>
    <t>(0555) 682-7616</t>
  </si>
  <si>
    <t>hayrettinbitaraf@gmail.com</t>
  </si>
  <si>
    <t>(0555) 527-7969</t>
  </si>
  <si>
    <t>Gerilim Trafosuz Akıllı Dağıtım Koruması</t>
  </si>
  <si>
    <t>fzlpsln@gmail.com</t>
  </si>
  <si>
    <t>(0505) 310-8969</t>
  </si>
  <si>
    <t>mehmetkrdnz1@gmail.com</t>
  </si>
  <si>
    <t>(0554) 306-5182</t>
  </si>
  <si>
    <t>Bilgisayar ve Öğretim Teknolojileri Eğitimi</t>
  </si>
  <si>
    <t>deniz.erkull@gmail.com</t>
  </si>
  <si>
    <t>(0537) 930-7791</t>
  </si>
  <si>
    <t>bulutdamla1@hotmail.com</t>
  </si>
  <si>
    <t>(0534) 210-7990</t>
  </si>
  <si>
    <t>benaninan@gmail.com</t>
  </si>
  <si>
    <t>(0534) 529-3540</t>
  </si>
  <si>
    <t>Mantar Kurutulmasında Kurutma Yönteminin Etkisinin Belirlenmesi</t>
  </si>
  <si>
    <t>engur.burak.tr@gmail.com</t>
  </si>
  <si>
    <t>(0539) 504-8914</t>
  </si>
  <si>
    <t>mervecelik32@gmail.com</t>
  </si>
  <si>
    <t>(0530) 401-9686</t>
  </si>
  <si>
    <t>mim.elifkargi@gmail.com</t>
  </si>
  <si>
    <t>(0530) 159-4788</t>
  </si>
  <si>
    <t>esradegirmenci92@gmail.com</t>
  </si>
  <si>
    <t>(0555) 638-5388</t>
  </si>
  <si>
    <t>Otomotiv Kümelerinin Yapısal Değişimi Ve Mekânsal Yansımaları</t>
  </si>
  <si>
    <t>ademsakarya@yahoo.com.tr</t>
  </si>
  <si>
    <t>(0539) 650-4215</t>
  </si>
  <si>
    <t>suleymanogluhikmet@hotmail.com</t>
  </si>
  <si>
    <t>(0532) 571-1300</t>
  </si>
  <si>
    <t>Dengesiz Kredi Skorlama Veri Setlerinde Kolektif Öğrenme Algoritmalarının Performans Değerlendirmesi</t>
  </si>
  <si>
    <t>nihansarier@gmail.com</t>
  </si>
  <si>
    <t>(0507) 261-8953</t>
  </si>
  <si>
    <t>Çelik Cüruflarının Borlu Bileşiklerle Kararlı Hale Getirilmesi</t>
  </si>
  <si>
    <t>alikorayozcelik@hotmail.com</t>
  </si>
  <si>
    <t>(0507) 942-1387</t>
  </si>
  <si>
    <t>kurtcansin@gmail.com</t>
  </si>
  <si>
    <t>(0535) 694-6009</t>
  </si>
  <si>
    <t>kirnak_772@hotmail.com</t>
  </si>
  <si>
    <t>(0545) 262-0369</t>
  </si>
  <si>
    <t>haticegorguluoglu@gmail.com</t>
  </si>
  <si>
    <t>(0505) 717-9441</t>
  </si>
  <si>
    <t>izlemhasbutcu@gmail.com</t>
  </si>
  <si>
    <t>(0535) 431-9413</t>
  </si>
  <si>
    <t>cansukst@gmail.com</t>
  </si>
  <si>
    <t>(5308) 215-436</t>
  </si>
  <si>
    <t>gokmentak@hotmail.com</t>
  </si>
  <si>
    <t>(0506) 437-3542</t>
  </si>
  <si>
    <t>ezgisimsekli@gmail.com</t>
  </si>
  <si>
    <t>(505) 925-9839</t>
  </si>
  <si>
    <t>yelizyurdabak@gmail.com</t>
  </si>
  <si>
    <t>(0507) 756-8898</t>
  </si>
  <si>
    <t>haluk.koca@gmail.com</t>
  </si>
  <si>
    <t>(0554) 937-6901</t>
  </si>
  <si>
    <t>ceydaolmez1990@gmail.com</t>
  </si>
  <si>
    <t>(0534) 487-1177</t>
  </si>
  <si>
    <t>Bölge Planlama</t>
  </si>
  <si>
    <t>Enerji Sistemindeki Çok-Düzeyli Değişim Çerçevesinde Toplum-Politika Geribildirim Döngülerinin Tasarlanması</t>
  </si>
  <si>
    <t>aysevelioglu@windowslive.com</t>
  </si>
  <si>
    <t>(0535) 653-8588</t>
  </si>
  <si>
    <t>Hikaye Anlatıcılığının Bilimsel Kavramların Öğretiminde Kullanılması</t>
  </si>
  <si>
    <t>165A5005</t>
  </si>
  <si>
    <t>1elifdemirci@gmail.com</t>
  </si>
  <si>
    <t>(0545) 672-8505</t>
  </si>
  <si>
    <t>gunsaltopac@gmail.com</t>
  </si>
  <si>
    <t>(0554) 794-2046</t>
  </si>
  <si>
    <t>s.vefaa@gmail.com</t>
  </si>
  <si>
    <t>(0507) 278-8323</t>
  </si>
  <si>
    <t>omerfarukkaradeniz@gmail.com</t>
  </si>
  <si>
    <t>(0532) 138-4902</t>
  </si>
  <si>
    <t>Balkonların Hacim İçindeki Günışığı Aydınlığına Etkisinin İncelenmesi</t>
  </si>
  <si>
    <t>kubrasyn@hotmail.com</t>
  </si>
  <si>
    <t>(0544) 483-4800</t>
  </si>
  <si>
    <t>cetin.oznurr@gmail.com</t>
  </si>
  <si>
    <t>(0554) 657-6410</t>
  </si>
  <si>
    <t>Farklı İklim Şartlarındaki Jeotermal Santrallerin Soğutma Sisteminin Optimizasyonu</t>
  </si>
  <si>
    <t>tugrulbasaran@me.com</t>
  </si>
  <si>
    <t>(0505) 313-0352</t>
  </si>
  <si>
    <t>demirserkan@gmail.com</t>
  </si>
  <si>
    <t>(0505) 317-2406</t>
  </si>
  <si>
    <t>didemmbickici@gmail.com</t>
  </si>
  <si>
    <t>(0534) 678-8889</t>
  </si>
  <si>
    <t>beratyilmaz@gmail.com</t>
  </si>
  <si>
    <t>(0533) 249-1132</t>
  </si>
  <si>
    <t>ilke.damdere@gmail.com</t>
  </si>
  <si>
    <t>(0543) 845-1789</t>
  </si>
  <si>
    <t>furkankb91@gmail.com</t>
  </si>
  <si>
    <t>(0554) 666-1768</t>
  </si>
  <si>
    <t>Uçak Motorları Bakım Onarım Süreçleri İçin Optimal Karar Destek Sistemleri Geliştirilmesi</t>
  </si>
  <si>
    <t>lumerova@adbtech.com</t>
  </si>
  <si>
    <t>(0537) 442-1434</t>
  </si>
  <si>
    <t>serkanozden55@gmail.com</t>
  </si>
  <si>
    <t>(0506) 658-4458</t>
  </si>
  <si>
    <t>halitorenbas@gmail.com</t>
  </si>
  <si>
    <t>(0554) 504-2909</t>
  </si>
  <si>
    <t>İstanbul Yalı Camileri</t>
  </si>
  <si>
    <t>rukiyebostan41@gmail.com</t>
  </si>
  <si>
    <t>(0539) 819-2545</t>
  </si>
  <si>
    <t>birkanyil@gmail.com</t>
  </si>
  <si>
    <t>(0535) 831-0254</t>
  </si>
  <si>
    <t>kalkan.mert@gmail.com</t>
  </si>
  <si>
    <t>(0530) 873-0424</t>
  </si>
  <si>
    <t>emine.kuru78@gmail.com</t>
  </si>
  <si>
    <t>(0542) 789-8225</t>
  </si>
  <si>
    <t>mnurgunen@gmail.com</t>
  </si>
  <si>
    <t>(0535) 966-9442</t>
  </si>
  <si>
    <t>doganm487@gmail.com</t>
  </si>
  <si>
    <t>(0543) 345-0713</t>
  </si>
  <si>
    <t>ayannihall89@gmail.com</t>
  </si>
  <si>
    <t>(0538) 382-6524</t>
  </si>
  <si>
    <t>ugurmuratdemir1@gmail.com</t>
  </si>
  <si>
    <t>(0555) 559-6878</t>
  </si>
  <si>
    <t>berrudemirbas@gmail.com</t>
  </si>
  <si>
    <t>(0537) 768-6154</t>
  </si>
  <si>
    <t>Fizikokimya</t>
  </si>
  <si>
    <t>ybeydogan@gmail.com</t>
  </si>
  <si>
    <t>(0537) 547-5695</t>
  </si>
  <si>
    <t>sedatanta.ytu@gmail.com</t>
  </si>
  <si>
    <t>(0555) 849-1635</t>
  </si>
  <si>
    <t>beyzakiziloglu@gmail.com</t>
  </si>
  <si>
    <t>(0534) 611-0093</t>
  </si>
  <si>
    <t>dilansanli8991@gmail.com</t>
  </si>
  <si>
    <t>(0537) 568-5904</t>
  </si>
  <si>
    <t>Geleneksel Kütahya Evlerinin Yapım Tekniğinin İncelenmesi Ve Koruma Önerileri</t>
  </si>
  <si>
    <t>koclardanpinar@gmail.com</t>
  </si>
  <si>
    <t>(0531) 466-0909</t>
  </si>
  <si>
    <t>Çızım Yontemı Kullanılarak Okul Öncesı Öğrencılerının Kavram Yanılgılarının Belırlenmesı</t>
  </si>
  <si>
    <t>eekoca@gmail.com</t>
  </si>
  <si>
    <t>(0543) 539-3210</t>
  </si>
  <si>
    <t>elifyilmazel@gmail.com</t>
  </si>
  <si>
    <t>(0554) 455-5810</t>
  </si>
  <si>
    <t>snmz_furkan@hotmail.com</t>
  </si>
  <si>
    <t>(0554) 393-4335</t>
  </si>
  <si>
    <t>3D(Üç Boyut) Teknolojisi Kullanarak Nanokaplı Motor Segmanlarının Sürtünme- Aşınma Yönünden İncelenmesi</t>
  </si>
  <si>
    <t>burcu.acunas@yahoo.com.tr</t>
  </si>
  <si>
    <t>(0530) 309-9840</t>
  </si>
  <si>
    <t>Kontrollü İlaç Salınımı</t>
  </si>
  <si>
    <t>dvtgndz@gmail.com</t>
  </si>
  <si>
    <t>(0542) 205-1080</t>
  </si>
  <si>
    <t>dilaraacikel@gmail.com</t>
  </si>
  <si>
    <t>(0542) 740-3707</t>
  </si>
  <si>
    <t>Endülüs Sivil Mimarisinin Biçim Gramerleri Açısından İncelenmesi</t>
  </si>
  <si>
    <t>nzl.dnz@gmail.com</t>
  </si>
  <si>
    <t>(0555) 874-9740</t>
  </si>
  <si>
    <t>ipek_onen@hotmail.com</t>
  </si>
  <si>
    <t>(0534) 499-9626</t>
  </si>
  <si>
    <t>Flagship Projelerin Kentsel Dönüşüme Etkisi</t>
  </si>
  <si>
    <t>ayca_aicha@hotmail.com</t>
  </si>
  <si>
    <t>(0535) 490-3808</t>
  </si>
  <si>
    <t>eonar@ziraatteknoloji.com</t>
  </si>
  <si>
    <t>(0535) 366-0951</t>
  </si>
  <si>
    <t>gulcingungor@yandex.com</t>
  </si>
  <si>
    <t>(0537) 707-5525</t>
  </si>
  <si>
    <t>mrvgozutok@gmail.com</t>
  </si>
  <si>
    <t>(0555) 299-1650</t>
  </si>
  <si>
    <t>İnşaat Sektöründe Yap İşlet Devret Modelinde Risk Yönetimi: Yavuz Sultan Selim Köprüsü Projesi Örneği</t>
  </si>
  <si>
    <t>hkaradadas@gmail.com</t>
  </si>
  <si>
    <t>(0539) 594-3470</t>
  </si>
  <si>
    <t>Denizcilik Uygulamaları İçin Dual Miller Çevrimi – Organik Rankine Çevrimi Kombine Tesisinin Performans İncelemesi</t>
  </si>
  <si>
    <t>merasam2000@yahoo.com</t>
  </si>
  <si>
    <t>(0539) 851-9534</t>
  </si>
  <si>
    <t>damlaerkol@gmail.com</t>
  </si>
  <si>
    <t>(0539) 477-4098</t>
  </si>
  <si>
    <t>hatipogluerdem@gmail.com</t>
  </si>
  <si>
    <t>(0538) 202-7668</t>
  </si>
  <si>
    <t>zeynepoztaner@hotmail.com</t>
  </si>
  <si>
    <t>(0554) 247-8648</t>
  </si>
  <si>
    <t>Borulu Tip Isı Değiştiricilerinde Laminar Akışta Nümerik Olarak Isı Transferi Karakteristiklerinin Karşılaştırılması</t>
  </si>
  <si>
    <t>onurdalli91@gmail.com</t>
  </si>
  <si>
    <t>(0538) 456-0589</t>
  </si>
  <si>
    <t>durusceyda@gmail.com</t>
  </si>
  <si>
    <t>(0507) 351-6574</t>
  </si>
  <si>
    <t>Türkiye Elektrik İletim Şebekesinde Kullanılan Kafes Direklerin Darbe Empedanslarının Analizi</t>
  </si>
  <si>
    <t>hasanbozkurt@yahoo.com</t>
  </si>
  <si>
    <t>(0505) 575-0636</t>
  </si>
  <si>
    <t>Sürdürülebilir Enerji Kullanımında Hava Bacaları</t>
  </si>
  <si>
    <t>selmakucuker28@gmail.com</t>
  </si>
  <si>
    <t>(0506) 792-6216</t>
  </si>
  <si>
    <t>epru51@gmail.com</t>
  </si>
  <si>
    <t>(0553) 966-1288</t>
  </si>
  <si>
    <t>gamzeaydemir90@hotmail.com</t>
  </si>
  <si>
    <t>(0537) 702-4395</t>
  </si>
  <si>
    <t>melikeozhn@gmail.com</t>
  </si>
  <si>
    <t>(0543) 846-6179</t>
  </si>
  <si>
    <t>Kütüphanelerin Aydınlatma Düzenleri Açısından İncelenmesi</t>
  </si>
  <si>
    <t>nazlican197@gmail.com</t>
  </si>
  <si>
    <t>(0533) 208-7158</t>
  </si>
  <si>
    <t>minekayalar@gmail.com</t>
  </si>
  <si>
    <t>(0535) 529-8685</t>
  </si>
  <si>
    <t>Tarihi Yapılarda Yangın Yönetimi</t>
  </si>
  <si>
    <t>tulunaysema@gmail.com</t>
  </si>
  <si>
    <t>(0541) 953-7694</t>
  </si>
  <si>
    <t>zeynepkocoglu@gmail.com</t>
  </si>
  <si>
    <t>(0542) 495-2277</t>
  </si>
  <si>
    <t>Karayolunda Hareket Halindeki Araçların Emisyon Miktarlarının Web Tabanlı Coğrafi Bilgi Sisteminde Analizi: İstanbul Örneği</t>
  </si>
  <si>
    <t>arzuyuksel@yandex.com</t>
  </si>
  <si>
    <t>(0537) 822-2362</t>
  </si>
  <si>
    <t>ustunseyma@hotmail.com</t>
  </si>
  <si>
    <t>(0551) 551-0288</t>
  </si>
  <si>
    <t>Farklı Kalınlıklardaki Sac Parçaların Üretilmesi İçin Tasarlanan Hadde Makinasının Dinamik Analizi</t>
  </si>
  <si>
    <t>oguzmertsahin@gmail.com</t>
  </si>
  <si>
    <t>(0506) 830-6338</t>
  </si>
  <si>
    <t>elifgucar@gmail.com</t>
  </si>
  <si>
    <t>(0536) 935-0817</t>
  </si>
  <si>
    <t>pinarlutfiyealkan@gmail.com</t>
  </si>
  <si>
    <t>(0538) 508-0580</t>
  </si>
  <si>
    <t>Sultan Abdülaziz Dönemi Mimarlığı: İstanbul Örnekleri</t>
  </si>
  <si>
    <t>gdursun17@hotmail.com</t>
  </si>
  <si>
    <t>(0507) 887-5297</t>
  </si>
  <si>
    <t>nedayagmur@gmail.com</t>
  </si>
  <si>
    <t>(0532) 135-6139</t>
  </si>
  <si>
    <t>sayginercann@gmail.com</t>
  </si>
  <si>
    <t>(0553) 046-8182</t>
  </si>
  <si>
    <t>erdieksi@gmail.com</t>
  </si>
  <si>
    <t>(0506) 664-5215</t>
  </si>
  <si>
    <t>avci.kubra94@gmail.com</t>
  </si>
  <si>
    <t>(0535) 795-3663</t>
  </si>
  <si>
    <t>seldasaki@hotmail.com</t>
  </si>
  <si>
    <t>(0555) 579-0214</t>
  </si>
  <si>
    <t>dogukan.engin@gmail.com</t>
  </si>
  <si>
    <t>(0538) 739-3964</t>
  </si>
  <si>
    <t>Kurşun-Çinko Maden Atığının Zemin Stabilizasyonunda Değerlendirilmesi</t>
  </si>
  <si>
    <t>fatihbalatan@gmail.com</t>
  </si>
  <si>
    <t>(0536) 201-5818</t>
  </si>
  <si>
    <t>Süreç Denetiminde Çok Değişkenli Sistem Tanıma</t>
  </si>
  <si>
    <t>zahidnajar@icloud.com</t>
  </si>
  <si>
    <t>(0553) 058-0441</t>
  </si>
  <si>
    <t>nur_olgac@hotmail.com</t>
  </si>
  <si>
    <t>(0543) 245-7380</t>
  </si>
  <si>
    <t>Flowform Malzemelerinin Karakterizasyonu</t>
  </si>
  <si>
    <t>umutkoltan@gmail.com</t>
  </si>
  <si>
    <t>(0506) 945-9262</t>
  </si>
  <si>
    <t>Güvenliğin Sağlanmasında Kentsel Tasarım Ölçütlerinin Araştırılması</t>
  </si>
  <si>
    <t>tubakocaa@gmail.com</t>
  </si>
  <si>
    <t>(0507) 641-8343</t>
  </si>
  <si>
    <t>Yönetsel Yapıların Eğitim Amaçlı Olarak Kullanım Dönüşümü (Bağdat, Al Faw-Bağdat Saray Yerleşkesi Örneği)</t>
  </si>
  <si>
    <t>erhanvural@gmail.com</t>
  </si>
  <si>
    <t>(0505) 930-9508</t>
  </si>
  <si>
    <t>eserhalide09@gmail.com</t>
  </si>
  <si>
    <t>(0537) 515-3000</t>
  </si>
  <si>
    <t>defnegulkayaoglu@gmail.com</t>
  </si>
  <si>
    <t>(0543) 390-6080</t>
  </si>
  <si>
    <t>dilara1130@hotmail.com</t>
  </si>
  <si>
    <t>(0505) 299-7283</t>
  </si>
  <si>
    <t>Mimarlık Fakültesi Arasındaki Şehzade Köşklerinin Mimari Bezemeleri</t>
  </si>
  <si>
    <t>betul7kilic@gmail.com</t>
  </si>
  <si>
    <t>(0534) 311-8353</t>
  </si>
  <si>
    <t>Robotik Yüzey Malzeme Tespit Sistemi</t>
  </si>
  <si>
    <t>segokcan@gmail.com</t>
  </si>
  <si>
    <t>(0537) 447-5335</t>
  </si>
  <si>
    <t>mehmetkocwa@gmail.com</t>
  </si>
  <si>
    <t>(0532) 366-4788</t>
  </si>
  <si>
    <t>emelunver@unyap.com.tr</t>
  </si>
  <si>
    <t>(555) 608-4468</t>
  </si>
  <si>
    <t>tanyeriyigit@gmail.com</t>
  </si>
  <si>
    <t>(0533) 451-1927</t>
  </si>
  <si>
    <t>dnz.kkaya@gmail.com</t>
  </si>
  <si>
    <t>(0507) 419-9046</t>
  </si>
  <si>
    <t>serraakguner@gmail.com</t>
  </si>
  <si>
    <t>(0537) 331-2656</t>
  </si>
  <si>
    <t>Bir Pestisitin Fotokatalitik Degradasyonunun İncelenmesi</t>
  </si>
  <si>
    <t>yelizyilmaz9@gmail.com</t>
  </si>
  <si>
    <t>(0538) 970-1884</t>
  </si>
  <si>
    <t>muttaa_vet_2009@yahoo.com</t>
  </si>
  <si>
    <t>(0534) 373-5101</t>
  </si>
  <si>
    <t>umutkoyuncu34@gmail.com</t>
  </si>
  <si>
    <t>(0538) 843-5375</t>
  </si>
  <si>
    <t>nurullah.calik@gmail.com</t>
  </si>
  <si>
    <t>(0505) 645-3284</t>
  </si>
  <si>
    <t>fatihtekir@gmail.com</t>
  </si>
  <si>
    <t>(0534) 698-6045</t>
  </si>
  <si>
    <t>akkaya.tuna@hotmail.com</t>
  </si>
  <si>
    <t>(0555) 341-8128</t>
  </si>
  <si>
    <t>ahmetkandeniz@gmail.com</t>
  </si>
  <si>
    <t>(530) 140-2546</t>
  </si>
  <si>
    <t>snacanal@hotmail.com</t>
  </si>
  <si>
    <t>(0535) 570-1773</t>
  </si>
  <si>
    <t>sugunaydin@gmail.com</t>
  </si>
  <si>
    <t>(0505) 725-9491</t>
  </si>
  <si>
    <t>monurcetin@gmail.com</t>
  </si>
  <si>
    <t>(0535) 656-6663</t>
  </si>
  <si>
    <t>simlauygac@gmail.com</t>
  </si>
  <si>
    <t>(0530) 654-2992</t>
  </si>
  <si>
    <t>Kültürel Süreklilik İçinde İstanbul-Beykoz Yerleşiminin Merkez Mahallesi Kapsamında İncelenmesi</t>
  </si>
  <si>
    <t>ebrusolakbilecen@gmail.com</t>
  </si>
  <si>
    <t>(0505) 712-2212</t>
  </si>
  <si>
    <t>yetomruk@gmail.com</t>
  </si>
  <si>
    <t>(0539) 637-6556</t>
  </si>
  <si>
    <t>kaandilmen18@gmail.com</t>
  </si>
  <si>
    <t>(0551) 422-0894</t>
  </si>
  <si>
    <t>Mimari Tasarımda Biyomimikri Kavramının Dijital Üretim Teknikleriyle İncelenmesi</t>
  </si>
  <si>
    <t>naciyesevgul@gmail.com</t>
  </si>
  <si>
    <t>(0539) 200-5025</t>
  </si>
  <si>
    <t>safiyekalay@gmail.com</t>
  </si>
  <si>
    <t>(0532) 357-8513</t>
  </si>
  <si>
    <t>Nesne Takipli Otonom Robot Prototipi Tasarımı</t>
  </si>
  <si>
    <t>yebaygeldi@yandex.com.tr</t>
  </si>
  <si>
    <t>(0537) 604-6823</t>
  </si>
  <si>
    <t>denizyurttakal@gmail.com</t>
  </si>
  <si>
    <t>(0534) 608-8052</t>
  </si>
  <si>
    <t>altan81@gmail.com</t>
  </si>
  <si>
    <t>(0532) 392-4201</t>
  </si>
  <si>
    <t>hande.hatiboglu@hotmail.com</t>
  </si>
  <si>
    <t>(0532) 171-1491</t>
  </si>
  <si>
    <t>gokhandvcy@gmail.com</t>
  </si>
  <si>
    <t>(0541) 389-0202</t>
  </si>
  <si>
    <t>Betonarme Yapıların İnşaatında Kullanılan Endüstriyel Kalıp - İskele Uygulamalarında Yüklenici Kaynaklı Risk Faktörlerinin Belirlenmesi</t>
  </si>
  <si>
    <t>sercantigli@gmail.com</t>
  </si>
  <si>
    <t>(0535) 608-5121</t>
  </si>
  <si>
    <t>Rize Kırsal Mimari Yapım Sistemleri</t>
  </si>
  <si>
    <t>senayeksi53@gmail.com</t>
  </si>
  <si>
    <t>(0506) 568-5053</t>
  </si>
  <si>
    <t>melissa_issever@hotmail.com</t>
  </si>
  <si>
    <t>(0536) 430-3055</t>
  </si>
  <si>
    <t>aysee_celik@hotmail.com</t>
  </si>
  <si>
    <t>(0541) 201-3570</t>
  </si>
  <si>
    <t>aysecodur@gmail.com</t>
  </si>
  <si>
    <t>(0533) 433-9479</t>
  </si>
  <si>
    <t>zarife@gmail.com</t>
  </si>
  <si>
    <t>(0533) 478-8590</t>
  </si>
  <si>
    <t>uamehmet@gmail.com</t>
  </si>
  <si>
    <t>(0531) 355-9740</t>
  </si>
  <si>
    <t>obenizimo@gmail.com</t>
  </si>
  <si>
    <t>(0537) 913-6520</t>
  </si>
  <si>
    <t>gozdegercek@gmail.com</t>
  </si>
  <si>
    <t>(0538) 545-3347</t>
  </si>
  <si>
    <t>Killi Zeminlerin Mukavemet Parametrelerinin Deneysel Yöntemlerle Belirlenmesi</t>
  </si>
  <si>
    <t>gkckalbaz@gmail.com</t>
  </si>
  <si>
    <t>(0544) 453-7407</t>
  </si>
  <si>
    <t>irem.sahmutoglu@gmail.com</t>
  </si>
  <si>
    <t>(5535) 461-652</t>
  </si>
  <si>
    <t>tugcetalay2@gmail.com</t>
  </si>
  <si>
    <t>(3567) 989-0005</t>
  </si>
  <si>
    <t>Yüzeysel Su Debi Verilerinin Analizinde Kalman Filtrelerinin Uygulamaları</t>
  </si>
  <si>
    <t>emrecanozdogan95@gmail.com</t>
  </si>
  <si>
    <t>(0543) 427-7729</t>
  </si>
  <si>
    <t>kbragkdmn@gmail.com</t>
  </si>
  <si>
    <t>(0536) 339-7857</t>
  </si>
  <si>
    <t>suhaekmekci@gmail.com</t>
  </si>
  <si>
    <t>(0544) 680-5543</t>
  </si>
  <si>
    <t>dicleae@gmail.com</t>
  </si>
  <si>
    <t>(0532) 565-9602</t>
  </si>
  <si>
    <t>Yeraltı Suyu Beslenim Alanlarının Belirlenmesinde Sayısal Arazi Altyapısı Etkisinin Araştırılması</t>
  </si>
  <si>
    <t>azizekoc1305@gmail.com</t>
  </si>
  <si>
    <t>(0541) 431-9400</t>
  </si>
  <si>
    <t>burakcebeci@esitelectric.com</t>
  </si>
  <si>
    <t>(0532) 225-0109</t>
  </si>
  <si>
    <t>Kentsel Mekânda Günışığı Faktörünün Enerji Sakınımı Odaklı Yaşam Kalitesi Üzerindeki Etkisi</t>
  </si>
  <si>
    <t>berilsevin@gmail.com</t>
  </si>
  <si>
    <t>(0536) 377-7656</t>
  </si>
  <si>
    <t>Gemiler İçin Yeni Bir Elektrik Enerjisi Yönetim Sisteminin Akıllı Şebeke Altyapısına Uygun Olarak Geliştirilmesi</t>
  </si>
  <si>
    <t>drkenanyigit@gmail.com</t>
  </si>
  <si>
    <t>(0554) 515-6934</t>
  </si>
  <si>
    <t>bb.fatma@gmail.com</t>
  </si>
  <si>
    <t>(0507) 623-3757</t>
  </si>
  <si>
    <t>kaan1gencay@gmail.com</t>
  </si>
  <si>
    <t>(0506) 914-4069</t>
  </si>
  <si>
    <t>eda__ekinci@hotmail.com</t>
  </si>
  <si>
    <t>(0531) 655-1241</t>
  </si>
  <si>
    <t>furkan.senguler@hotmail.com</t>
  </si>
  <si>
    <t>(0539) 560-7215</t>
  </si>
  <si>
    <t>aykutnarinoglu905@gmail.com</t>
  </si>
  <si>
    <t>(0533) 716-5767</t>
  </si>
  <si>
    <t>burcuyazici90@gmail.com</t>
  </si>
  <si>
    <t>(0532) 566-8955</t>
  </si>
  <si>
    <t>deria_ylmz@hotmail.com</t>
  </si>
  <si>
    <t>(0554) 804-3240</t>
  </si>
  <si>
    <t>turkan.hb@gmail.com</t>
  </si>
  <si>
    <t>(0538) 811-3540</t>
  </si>
  <si>
    <t>neslihanhshs@gmail.com</t>
  </si>
  <si>
    <t>(0553) 389-3185</t>
  </si>
  <si>
    <t>leylafigen@gmail.com</t>
  </si>
  <si>
    <t>(0539) 863-0367</t>
  </si>
  <si>
    <t>tugcedaren@hotmail.com</t>
  </si>
  <si>
    <t>(0538) 708-1191</t>
  </si>
  <si>
    <t>jihadbaeth@gmail.com</t>
  </si>
  <si>
    <t>(0507) 949-8879</t>
  </si>
  <si>
    <t>Raylı Sistemlerde Rejenerasyon</t>
  </si>
  <si>
    <t>gokhankocak88@gmail.com</t>
  </si>
  <si>
    <t>(0546) 202-9465</t>
  </si>
  <si>
    <t>niluferrr@gmail.com</t>
  </si>
  <si>
    <t>(0506) 419-4164</t>
  </si>
  <si>
    <t>Manisa Sivil Mimarlık Örnekleri Üzerine Bir Araştırma</t>
  </si>
  <si>
    <t>eminederin1@gmail.com</t>
  </si>
  <si>
    <t>(0537) 729-3545</t>
  </si>
  <si>
    <t>ndasahn@gmail.com</t>
  </si>
  <si>
    <t>(0544) 818-8990</t>
  </si>
  <si>
    <t>kayadibigulay@gmail.com</t>
  </si>
  <si>
    <t>(0538) 092-9509</t>
  </si>
  <si>
    <t>Havayolu Operasyonlarında Uçuş Eşleme İçin Süpürme Algoritması Tabanlı Sezgisel Bir Yaklaşımın Geliştirilmesi</t>
  </si>
  <si>
    <t>melek.sebile@gmail.com</t>
  </si>
  <si>
    <t>(0536) 934-0375</t>
  </si>
  <si>
    <t>canerboyraz@gmail.com</t>
  </si>
  <si>
    <t>(0507) 537-4407</t>
  </si>
  <si>
    <t>Akustiğin Kapalı Spor Salonu Tasarımında Bir Parametre Olarak Değerlendirilmesi Üzerine Bir Yöntem Önerisi</t>
  </si>
  <si>
    <t>inci.memicoglu@gmail.com</t>
  </si>
  <si>
    <t>mbetulturan@gmail.com</t>
  </si>
  <si>
    <t>(0543) 420-8871</t>
  </si>
  <si>
    <t>Basamaklı Dalgakıranlarda Basamak Geometrisinin Stabiliteye Etkisi</t>
  </si>
  <si>
    <t>ozgeglvr@hotmail.com</t>
  </si>
  <si>
    <t>(0537) 634-4245</t>
  </si>
  <si>
    <t>Aljinat - Kappa Kerajin - Hidroksiapatit Hidrojel Filmierin Termal Davranışlarının İncelenmesi</t>
  </si>
  <si>
    <t>gorgun.mls@gmail.com</t>
  </si>
  <si>
    <t>(0530) 410-5692</t>
  </si>
  <si>
    <t>meryem.atila@arcelik.com</t>
  </si>
  <si>
    <t>(5073) 601-304</t>
  </si>
  <si>
    <t>Orta Gerilim Dağıtım Şebekesine Bağlanan Rüzgar Türbinlerinin Etkileri</t>
  </si>
  <si>
    <t>kecankiri@yandex.com</t>
  </si>
  <si>
    <t>(0546) 621-3691</t>
  </si>
  <si>
    <t>ipek.dokumcu@hotmail.com</t>
  </si>
  <si>
    <t>(0542) 492-1575</t>
  </si>
  <si>
    <t>Konum Tabanlı Artırılmış Gerçeklik Uygulaması</t>
  </si>
  <si>
    <t>a.cantekin@hotmail.com</t>
  </si>
  <si>
    <t>(0555) 310-9949</t>
  </si>
  <si>
    <t>Delikli Dielektrik Lens Anten Tasarımı</t>
  </si>
  <si>
    <t>mucahitalcep@gmail.com</t>
  </si>
  <si>
    <t>(0535) 696-5006</t>
  </si>
  <si>
    <t>gizemsalihh@gmail.com</t>
  </si>
  <si>
    <t>(0534) 340-6904</t>
  </si>
  <si>
    <t>Yerel Kalkınmanın Bir Aracı Olarak Bölgesel Kalkınma Ajansları: Almanya Örneği</t>
  </si>
  <si>
    <t>zeynepulku@dengeyapi.com.tr</t>
  </si>
  <si>
    <t>(542) 291-6970</t>
  </si>
  <si>
    <t>cansuyazici@gmail.com</t>
  </si>
  <si>
    <t>(0533) 439-9366</t>
  </si>
  <si>
    <t>burcuunsal91@hotmail.com</t>
  </si>
  <si>
    <t>(0537) 410-7977</t>
  </si>
  <si>
    <t>Peyzaj Planlama</t>
  </si>
  <si>
    <t>Kentsel Peyzaj Planlama Bağlamında İndikatör Hayvan Türlerinin Sürdürülebilirliğinin Yıldız Korusu Örneğinde İrdelenmesi</t>
  </si>
  <si>
    <t>omtaso@gmail.com</t>
  </si>
  <si>
    <t>(0506) 581-6151</t>
  </si>
  <si>
    <t>cansu.pinar@metro-properties.com.tr</t>
  </si>
  <si>
    <t>(0549) 813-2927</t>
  </si>
  <si>
    <t>cigdemgorduk@gmail.com</t>
  </si>
  <si>
    <t>(0546) 255-1535</t>
  </si>
  <si>
    <t>e.akbulut@efkimya.com</t>
  </si>
  <si>
    <t>(0551) 241-2286</t>
  </si>
  <si>
    <t>p.aysenur@gmail.com</t>
  </si>
  <si>
    <t>Kentsel Mekan Kullanımı Değişiminin Kentli Hafızasına Etkisinin İncelenmesi: Kabataş – Karaköy Sahil Hattı</t>
  </si>
  <si>
    <t>serensagdic.work@gmail.com</t>
  </si>
  <si>
    <t>(0505) 803-6477</t>
  </si>
  <si>
    <t>sonerkaya36@gmail.com</t>
  </si>
  <si>
    <t>(0544) 946-2117</t>
  </si>
  <si>
    <t>Servis Anomali Tespiti</t>
  </si>
  <si>
    <t>pinarkamit@gmail.com</t>
  </si>
  <si>
    <t>(0544) 379-4963</t>
  </si>
  <si>
    <t>İlkokul Çağındaki Çocuklar İçin Kapsayıcı Eğitim Bağlamında Eğitim Mekanları</t>
  </si>
  <si>
    <t>neslihansaygili@gmail.com</t>
  </si>
  <si>
    <t>(0536) 418-4662</t>
  </si>
  <si>
    <t>Matematik (İngilizce)</t>
  </si>
  <si>
    <t>Bazı Temel Dalga Süreçlerinin Nümerik Modellemesi</t>
  </si>
  <si>
    <t>sufiimussa@gmail.com</t>
  </si>
  <si>
    <t>A5665555</t>
  </si>
  <si>
    <t>almukhtar00@gmail.com</t>
  </si>
  <si>
    <t>kirazciftcibasi@hotmail.com</t>
  </si>
  <si>
    <t>(0555) 238-5620</t>
  </si>
  <si>
    <t>iremmkara@gmail.com</t>
  </si>
  <si>
    <t>(0551) 104-2772</t>
  </si>
  <si>
    <t>fatihmemis1990@gmail.com</t>
  </si>
  <si>
    <t>(0538) 686-4883</t>
  </si>
  <si>
    <t>ozgesamli45@hotmail.com</t>
  </si>
  <si>
    <t>(0555) 645-2019</t>
  </si>
  <si>
    <t>Konser Salonlarında Orkestra Kabuğu Tasarımının Salonun Akustik Performansı Üzerine Etkisinin İncelenmesi</t>
  </si>
  <si>
    <t>geyyas1991@gmail.com</t>
  </si>
  <si>
    <t>(0539) 863-0344</t>
  </si>
  <si>
    <t>Bazı İletken Polimer-İnorganik Nanopartikül Kompozitlerinden Termoelektrik Malzemeler Hazırlanması</t>
  </si>
  <si>
    <t>NASERSUBHY@GMAIL.COM</t>
  </si>
  <si>
    <t>(0537) 681-7577</t>
  </si>
  <si>
    <t>busraduzoglu@gmail.com</t>
  </si>
  <si>
    <t>(0532) 772-4662</t>
  </si>
  <si>
    <t>mesutokus@gmail.com</t>
  </si>
  <si>
    <t>(0507) 314-9824</t>
  </si>
  <si>
    <t>İstanbul Boğazı Anadolu Yakası İskele Meydanları</t>
  </si>
  <si>
    <t>tubaizn@gmail.com</t>
  </si>
  <si>
    <t>(0532) 068-481</t>
  </si>
  <si>
    <t>Dış Engellerin Yapı İçindeki Günışığı Aydınlığına Etkisinin İncelenmesi</t>
  </si>
  <si>
    <t>duyguzahmacioglu@gmail.com</t>
  </si>
  <si>
    <t>(0539) 833-3646</t>
  </si>
  <si>
    <t>İşlev Değişikliğinin Aydınlatma Tasarımına Etkisi: Myrelaion Sarnıcı Örneği</t>
  </si>
  <si>
    <t>unlubusra@hotmail.com</t>
  </si>
  <si>
    <t>(0535) 715-2481</t>
  </si>
  <si>
    <t>eliftangal_41@hotmail.com</t>
  </si>
  <si>
    <t>(0536) 839-0217</t>
  </si>
  <si>
    <t>caliskan_nisa@hotmail.com</t>
  </si>
  <si>
    <t>(0541) 592-6319</t>
  </si>
  <si>
    <t>Keçiboynuzu Unu İlavesinin Ekşi Hamur Fermantasyonuna Etkisi</t>
  </si>
  <si>
    <t>karlidagsenem@gmail.com</t>
  </si>
  <si>
    <t>(0532) 686-3193</t>
  </si>
  <si>
    <t>mervehundur@gmail.com</t>
  </si>
  <si>
    <t>(0534) 611-0585</t>
  </si>
  <si>
    <t>hulyagolebatmaz@gmail.com</t>
  </si>
  <si>
    <t>(0534) 226-4677</t>
  </si>
  <si>
    <t>grafitmimarlik@outlook.com</t>
  </si>
  <si>
    <t>(0533) 720-3270</t>
  </si>
  <si>
    <t>orkunisleyen14@gmail.com</t>
  </si>
  <si>
    <t>(0534) 052-5471</t>
  </si>
  <si>
    <t>yfpayalan@gmail.com</t>
  </si>
  <si>
    <t>(0553) 492-1093</t>
  </si>
  <si>
    <t>gokceadiguzel@gmail.com</t>
  </si>
  <si>
    <t>(0539) 477-1446</t>
  </si>
  <si>
    <t>Kentsel Koruma Bağlamında Boğaziçi Sit Alanının Değişiminin İncelenmesi</t>
  </si>
  <si>
    <t>busrasagiroglu@hotmail.com</t>
  </si>
  <si>
    <t>(0506) 568-0608</t>
  </si>
  <si>
    <t>neslinurhizli@gmail.com</t>
  </si>
  <si>
    <t>(0505) 772-5454</t>
  </si>
  <si>
    <t>Farklı Özelliklerde Hidroksiapatit Kullanılarak Donepezil Hidroklorit Etken Maddesinin Salım Kinetiğinin İncelenmesi</t>
  </si>
  <si>
    <t>ysmnbhrust@gmail.com</t>
  </si>
  <si>
    <t>(0505) 219-8803</t>
  </si>
  <si>
    <t>Harmonik Bileşenler İçeren Elektrik Güç Sistemlerinde Güç Tanımlarına İlişkin Farklı Yaklaşımların İncelenmesi</t>
  </si>
  <si>
    <t>necaticagrigurpinar@gmail.com</t>
  </si>
  <si>
    <t>(0533) 690-2299</t>
  </si>
  <si>
    <t>Lastik Jant Taşıma Sistemi Optimizasyonu</t>
  </si>
  <si>
    <t>cenkcitak@hotmail.com</t>
  </si>
  <si>
    <t>(0507) 347-4873</t>
  </si>
  <si>
    <t>nurdangunes1987@gmail.com</t>
  </si>
  <si>
    <t>(0506) 854-4236</t>
  </si>
  <si>
    <t>sarper_ozcan@likrom.com</t>
  </si>
  <si>
    <t>(0536) 727-2108</t>
  </si>
  <si>
    <t>samikuni@hotmail.com</t>
  </si>
  <si>
    <t>(0533) 574-7888</t>
  </si>
  <si>
    <t>Standart Bir Somun Dişi İle Üzerine Yiv Açılmış Bir Somun Dişinin Yük Altındaki Dayanımlarının Teorik Ve Deneysel Yöntemlerle Karşılaştırılması</t>
  </si>
  <si>
    <t>sakir.aydn@gmail.com</t>
  </si>
  <si>
    <t>dilsahbasaslan@gmail.com</t>
  </si>
  <si>
    <t>(0541) 440-1602</t>
  </si>
  <si>
    <t>goksenayozdemir@hotmail.com</t>
  </si>
  <si>
    <t>(0531) 241-7979</t>
  </si>
  <si>
    <t>alper.tuna@gmail.com</t>
  </si>
  <si>
    <t>(0532) 697-6422</t>
  </si>
  <si>
    <t>burakgur.brg@gmail.com</t>
  </si>
  <si>
    <t>(0505) 295-8197</t>
  </si>
  <si>
    <t>kevserismailoglu@yahoo.com.tr</t>
  </si>
  <si>
    <t>(0537) 841-9956</t>
  </si>
  <si>
    <t>Ağır Hizmet Sektöründe Kullanılan Dizel Motor Bloklarına Yönelik Hafifletme Çalışmaları</t>
  </si>
  <si>
    <t>u.kirenci@gmail.com</t>
  </si>
  <si>
    <t>(0535) 963-2712</t>
  </si>
  <si>
    <t>mertolcen@gmail.com</t>
  </si>
  <si>
    <t>(5323) 279-283</t>
  </si>
  <si>
    <t>emineypc@gmail.com</t>
  </si>
  <si>
    <t>(0538) 687-2472</t>
  </si>
  <si>
    <t>bayramyurdakul@hotmail.com</t>
  </si>
  <si>
    <t>(0530) 660-8114</t>
  </si>
  <si>
    <t>Parsel Ölçeğinde Kentsel Dönüşüm Projelerinde Proje Risklerinin Aktörler Üzerinden Değerlendirilmesi, Bağdat Caddesi Örneği</t>
  </si>
  <si>
    <t>gokcehanoglu@hotmail.com</t>
  </si>
  <si>
    <t>(532) 050-0343</t>
  </si>
  <si>
    <t>Soğutma Kulelerinin Performansının İyileştirilmesi</t>
  </si>
  <si>
    <t>canertukta@hotmail.com</t>
  </si>
  <si>
    <t>(0544) 963-0813</t>
  </si>
  <si>
    <t>nihanmetiner.duran@gmail.com</t>
  </si>
  <si>
    <t>(0530) 414-1684</t>
  </si>
  <si>
    <t>Bulaşık Makinesi Sepet Ray Braket Parçası İçin Alternatif Malzeme Araştırması</t>
  </si>
  <si>
    <t>edasertt@gmail.com</t>
  </si>
  <si>
    <t>(0534) 690-8802</t>
  </si>
  <si>
    <t>tugcevsever@gmail.com</t>
  </si>
  <si>
    <t>(0541) 884-2393</t>
  </si>
  <si>
    <t>ugurzengin88@gmail.com</t>
  </si>
  <si>
    <t>(0539) 709-0173</t>
  </si>
  <si>
    <t>araztaheri2013@gmail.com</t>
  </si>
  <si>
    <t>(0532) 163-9603</t>
  </si>
  <si>
    <t>sadi_aluhabi@yahoo.com</t>
  </si>
  <si>
    <t>(0536) 813-8779</t>
  </si>
  <si>
    <t>aaytac2009@gmail.com</t>
  </si>
  <si>
    <t>(0538) 553-4015</t>
  </si>
  <si>
    <t>alpaguelif@gmail.com</t>
  </si>
  <si>
    <t>(0554) 892-4546</t>
  </si>
  <si>
    <t>s.simale-1994@windowslive.com</t>
  </si>
  <si>
    <t>(0544) 343-1474</t>
  </si>
  <si>
    <t>Yabancı Uyruklu Yapı</t>
  </si>
  <si>
    <t>mzh_jafari@yahoo.com</t>
  </si>
  <si>
    <t>(0538) 030-8645</t>
  </si>
  <si>
    <t>Parsel Ölçeğinde Kentsel Dönüşüm Projeleri İle Değişen/Dönüşen Kentsel Mekan "Kadıköy Örneği"</t>
  </si>
  <si>
    <t>mugesaral@gmail.com</t>
  </si>
  <si>
    <t>(0533) 473-2033</t>
  </si>
  <si>
    <t>Bina Cephe Ölçülerinde Farklı Ölçü Yöntemlerinin Kullanılabilirliğinin Araştırılması</t>
  </si>
  <si>
    <t>a_ozturk61@hotmail.com</t>
  </si>
  <si>
    <t>(0532) 634-5269</t>
  </si>
  <si>
    <t>Kamusal Yapıların Kentsel Açık Mekan Biçimlenmesine Etkileri</t>
  </si>
  <si>
    <t>aycaozyetgin@gmail.com</t>
  </si>
  <si>
    <t>(0660) 393-5520</t>
  </si>
  <si>
    <t>Sürdürülebilir Kentsel Tasarıma Doğadan İlham Almak: Biyomimikri</t>
  </si>
  <si>
    <t>seymenogluemre@gmail.com</t>
  </si>
  <si>
    <t>(0554) 432-1893</t>
  </si>
  <si>
    <t>Bitkisel Kökenli Gıdalarda Yüksek Polariteye Sahip Pestisit Kalıntılarının Sıvı Kromatografisi/Kütle Spektrometresi Yöntemleri İle Tayinleri</t>
  </si>
  <si>
    <t>muhammet-burak@hotmail.com</t>
  </si>
  <si>
    <t>(0505) 599-7365</t>
  </si>
  <si>
    <t>oktaykays@gmail.com</t>
  </si>
  <si>
    <t>(0555) 323-9148</t>
  </si>
  <si>
    <t>Akıllı Şebeke Yapısında Ev Düzeyinde Gerilim Azaltımı Yönteminin Dağıtım Şebeke Kaybına Etkisinin İncelenmesi</t>
  </si>
  <si>
    <t>alaa.jasim77@yahoo.com</t>
  </si>
  <si>
    <t>(0531) 948-6636</t>
  </si>
  <si>
    <t>mgencosmanogullari@gmail.com</t>
  </si>
  <si>
    <t>(0507) 928-0898</t>
  </si>
  <si>
    <t>ahmetcanceceloglu@hotmail.com</t>
  </si>
  <si>
    <t>(0544) 215-1213</t>
  </si>
  <si>
    <t>adigemre@hotmail.com</t>
  </si>
  <si>
    <t>(0554) 339-1620</t>
  </si>
  <si>
    <t>harunetci@gmail.com</t>
  </si>
  <si>
    <t>(0505) 864-6555</t>
  </si>
  <si>
    <t>Uygulamalı Yapı Bilgi Model Sisteminin Eğitime Entegrasyonu</t>
  </si>
  <si>
    <t>vtr.svcn@gmail.com</t>
  </si>
  <si>
    <t>(5074) 309-641</t>
  </si>
  <si>
    <t>Doğrusal Örnekleme Yöntemi İle Geometrik Şekillerin Görüntülenmesi</t>
  </si>
  <si>
    <t>asliarikan93@gmail.com</t>
  </si>
  <si>
    <t>(0536) 493-4465</t>
  </si>
  <si>
    <t>ozanule@gmail.com</t>
  </si>
  <si>
    <t>(5555) 588-427</t>
  </si>
  <si>
    <t>Atık Deniz Yosunlarının Kompost Katkısı Olarak Kullanılması</t>
  </si>
  <si>
    <t>akifemredemir@gmail.com</t>
  </si>
  <si>
    <t>(0506) 366-6410</t>
  </si>
  <si>
    <t>duygubakisli@hotmail.com</t>
  </si>
  <si>
    <t>(0535) 927-4275</t>
  </si>
  <si>
    <t>kemaltalhakoc@gmail.com</t>
  </si>
  <si>
    <t>(0539) 255-7349</t>
  </si>
  <si>
    <t>evrenozsoy@yahoo.com</t>
  </si>
  <si>
    <t>(0533) 667-3542</t>
  </si>
  <si>
    <t>yaseminors27@gmail.com</t>
  </si>
  <si>
    <t>(0532) 340-6046</t>
  </si>
  <si>
    <t>pinarkarabacak@gmail.com</t>
  </si>
  <si>
    <t>(0027) 766-4748</t>
  </si>
  <si>
    <t>3 Boyutlu Yazıcılarda Akışkan Soğutmalı Ekstruder Kafa Tasarımı</t>
  </si>
  <si>
    <t>murgundo@gmail.com</t>
  </si>
  <si>
    <t>(0537) 220-6681</t>
  </si>
  <si>
    <t>mnsyurtsever@gmail.com</t>
  </si>
  <si>
    <t>(0507) 455-9896</t>
  </si>
  <si>
    <t>asumankucukaydin@hotmail.com</t>
  </si>
  <si>
    <t>(0506) 764-7697</t>
  </si>
  <si>
    <t>Beykoz, Merkez Mahallesi Tarihi Kent Dokusu Üzerine Değişimin İncelenmesi</t>
  </si>
  <si>
    <t>aycandogan86@gmail.com</t>
  </si>
  <si>
    <t>(0539) 349-4033</t>
  </si>
  <si>
    <t>Logaritmik Güç Detektörü</t>
  </si>
  <si>
    <t>cuneydayan@gmail.com</t>
  </si>
  <si>
    <t>(0506) 585-5503</t>
  </si>
  <si>
    <t>makbuletamkas@gmail.com</t>
  </si>
  <si>
    <t>(0535) 241-5747</t>
  </si>
  <si>
    <t>Yüksek Katlı Yapı Tasarımında Rüzgar Faktörünün Yaya Konforuna Etkisi</t>
  </si>
  <si>
    <t>gnkoyuncu@hotmail.com</t>
  </si>
  <si>
    <t>(0506) 124-2417</t>
  </si>
  <si>
    <t>Geomatik</t>
  </si>
  <si>
    <t>endazyar@hotmail.com</t>
  </si>
  <si>
    <t>(0538) 335-0419</t>
  </si>
  <si>
    <t>ynrtrn@msn.com</t>
  </si>
  <si>
    <t>(0530) 604-5953</t>
  </si>
  <si>
    <t>seval_bicer@hotmail.com</t>
  </si>
  <si>
    <t>(0505) 779-5832</t>
  </si>
  <si>
    <t>kdericiler@gmail.com</t>
  </si>
  <si>
    <t>(0506) 687-5907</t>
  </si>
  <si>
    <t>Sinüzoidal İşaretlerin Parametre Kestirimi</t>
  </si>
  <si>
    <t>recep.orhan@tubitak.gov.tr</t>
  </si>
  <si>
    <t>(0505) 848-1921</t>
  </si>
  <si>
    <t>cbaylanc@gmail.com</t>
  </si>
  <si>
    <t>(0505) 922-9272</t>
  </si>
  <si>
    <t>gmzgundogan@gmail.com</t>
  </si>
  <si>
    <t>(0546) 938-2024</t>
  </si>
  <si>
    <t>elmira_ho2009@yahoo.com</t>
  </si>
  <si>
    <t>(0553) 032-7875</t>
  </si>
  <si>
    <t>16S7D410</t>
  </si>
  <si>
    <t>gunaybasdogan@hotmail.com</t>
  </si>
  <si>
    <t>(0555) 703-4509</t>
  </si>
  <si>
    <t>2. Meşrutiyet Dönemi Osmanlı Dergilerinde Mimarlık</t>
  </si>
  <si>
    <t>tosunism@gmail.com</t>
  </si>
  <si>
    <t>(0507) 152-3491</t>
  </si>
  <si>
    <t>ozn.kural@gmail.com</t>
  </si>
  <si>
    <t>(0532) 207-3021</t>
  </si>
  <si>
    <t>gizem.efendioglu@gmail.com</t>
  </si>
  <si>
    <t>(0506) 664-2946</t>
  </si>
  <si>
    <t>kubraari2@gmail.com</t>
  </si>
  <si>
    <t>(0554) 442-4832</t>
  </si>
  <si>
    <t>Gelişmiş Mikrodenetleyici Kontrollü Akıllı Ev Otomasyonu</t>
  </si>
  <si>
    <t>yefedar@gmail.com</t>
  </si>
  <si>
    <t>(0507) 073-2168</t>
  </si>
  <si>
    <t>ozmeneda@hotmail.com</t>
  </si>
  <si>
    <t>(0539) 398-7522</t>
  </si>
  <si>
    <t>Bir Taşıt Çarpışma Kutusunun Sonlu Elemanlar Analizleri</t>
  </si>
  <si>
    <t>eraykayar@gmail.com</t>
  </si>
  <si>
    <t>(0555) 766-4453</t>
  </si>
  <si>
    <t>e_ngaha@yahoo.fr</t>
  </si>
  <si>
    <t>(0553) 417-1208</t>
  </si>
  <si>
    <t>Yabancı Uyruklu Kentsel Dönüşüm ve Planlama</t>
  </si>
  <si>
    <t>Elfiknizam@gmail.com</t>
  </si>
  <si>
    <t>(0537) 370-1580</t>
  </si>
  <si>
    <t>seyma-bektas1@hotmail.com</t>
  </si>
  <si>
    <t>(0538) 569-4270</t>
  </si>
  <si>
    <t>suleymansaitgunes@gmail.com</t>
  </si>
  <si>
    <t>(0533) 510-2171</t>
  </si>
  <si>
    <t>sedaturgut13@gmail.com</t>
  </si>
  <si>
    <t>(0535) 863-9100</t>
  </si>
  <si>
    <t>berkayoskay@yandex.com</t>
  </si>
  <si>
    <t>(0541) 736-3435</t>
  </si>
  <si>
    <t>Haberleşme Hatası Durumunda Tren Konumunun Kestirimi: Hareketli Blok Olay Analizi</t>
  </si>
  <si>
    <t>rasitokan@yahoo.com</t>
  </si>
  <si>
    <t>(0539) 780-4979</t>
  </si>
  <si>
    <t>acaliskan@yildiz.edu.tr</t>
  </si>
  <si>
    <t>(0506) 266-5300</t>
  </si>
  <si>
    <t>aysebusrakurtak@gmail.com</t>
  </si>
  <si>
    <t>(0533) 501-4315</t>
  </si>
  <si>
    <t>engdilekcelik@gmail.com</t>
  </si>
  <si>
    <t>m_erbilen@hotmail.com</t>
  </si>
  <si>
    <t>(0541) 742-1989</t>
  </si>
  <si>
    <t>Kültürel Mirasa Erişilebilirliğin Yasal Boyutu</t>
  </si>
  <si>
    <t>zynpzdry6@gmail.com</t>
  </si>
  <si>
    <t>(0551) 607-1170</t>
  </si>
  <si>
    <t>eyupsercanakgul@gmail.com</t>
  </si>
  <si>
    <t>(0532) 351-8501</t>
  </si>
  <si>
    <t>tubakaynarca@gmail.com</t>
  </si>
  <si>
    <t>(0553) 707-3244</t>
  </si>
  <si>
    <t>cansumagazaci@gmail.com</t>
  </si>
  <si>
    <t>(0535) 461-0717</t>
  </si>
  <si>
    <t>mrve.smsek@gmail.com</t>
  </si>
  <si>
    <t>(0541) 734-8190</t>
  </si>
  <si>
    <t>cansu.kayabasi@hotmail.com</t>
  </si>
  <si>
    <t>(0537) 626-4222</t>
  </si>
  <si>
    <t>Kırsal Yaşam Alanların Dönüştürülmesi İçin Yapı Bileşenlerinin Yapı Kabuğu Başlığı Altında İrdelenmesi</t>
  </si>
  <si>
    <t>msari@spma.com.tr</t>
  </si>
  <si>
    <t>(0532) 363-3387</t>
  </si>
  <si>
    <t>duyguaricann@gmail.com</t>
  </si>
  <si>
    <t>(0545) 247-7679</t>
  </si>
  <si>
    <t>Havalimanı Tasarımında Yapı Bilgi Modelleme Süreci</t>
  </si>
  <si>
    <t>burcuevin@gmail.com</t>
  </si>
  <si>
    <t>(0532) 687-1676</t>
  </si>
  <si>
    <t>congerdervis@gmail.com</t>
  </si>
  <si>
    <t>(0535) 046-0820</t>
  </si>
  <si>
    <t>fnurgursoy@hotmail.com</t>
  </si>
  <si>
    <t>(0545) 258-3107</t>
  </si>
  <si>
    <t>merveduygutufan@gmail.com</t>
  </si>
  <si>
    <t>(0531) 270-0383</t>
  </si>
  <si>
    <t>sezermehmet7@gmail.com</t>
  </si>
  <si>
    <t>(0545) 620-1537</t>
  </si>
  <si>
    <t>İstatistiksel Entropiye Dayalı Ölçülerin Doğrusal Regresyon Modellerindeli Değişen Varyans Problemine Uygulanması</t>
  </si>
  <si>
    <t>haticecigdemcin@gmail.com</t>
  </si>
  <si>
    <t>(0543) 829-1885</t>
  </si>
  <si>
    <t>Radar Uygulamalarında Horn Antenler İçin Dielektrik Mercekli Lens Tasarımı</t>
  </si>
  <si>
    <t>n.burakalpaydin@gmail.com</t>
  </si>
  <si>
    <t>(0535) 621-0753</t>
  </si>
  <si>
    <t>aksu.cisem89@gmail.com</t>
  </si>
  <si>
    <t>(0535) 366-2206</t>
  </si>
  <si>
    <t>tuncer.a@gmail.com</t>
  </si>
  <si>
    <t>(0555) 576-2285</t>
  </si>
  <si>
    <t>zlmtrk00@gmail.com</t>
  </si>
  <si>
    <t>(0541) 851-8328</t>
  </si>
  <si>
    <t>mehmetsoy1903@gmail.com</t>
  </si>
  <si>
    <t>(0543) 900-8682</t>
  </si>
  <si>
    <t>turksevbenli@gmail.com</t>
  </si>
  <si>
    <t>(0544) 644-0411</t>
  </si>
  <si>
    <t>Tozkoparan Sosyal Konutlarının Modern Mimarlık Mirası Bağlamında Korunması</t>
  </si>
  <si>
    <t>yusuftunca@gmail.com</t>
  </si>
  <si>
    <t>(0505) 312-7079</t>
  </si>
  <si>
    <t>abdulkadirsari78@gmail.com</t>
  </si>
  <si>
    <t>(0543) 598-3971</t>
  </si>
  <si>
    <t>yilldirim.melike@gmail.com</t>
  </si>
  <si>
    <t>(0530) 231-4845</t>
  </si>
  <si>
    <t>gizemguner0@gmail.com</t>
  </si>
  <si>
    <t>(0505) 798-9710</t>
  </si>
  <si>
    <t>Video Görüntüleri Yardımıyla Uykulu Sürücülerin Tespiti</t>
  </si>
  <si>
    <t>serap.kucukmanisa@gmail.com</t>
  </si>
  <si>
    <t>(0555) 255-4345</t>
  </si>
  <si>
    <t>enesf@yildiz.edu.tr</t>
  </si>
  <si>
    <t>(0546) 945-6343</t>
  </si>
  <si>
    <t>Araç Arka Işıklarının Gece Ortamında Tespiti</t>
  </si>
  <si>
    <t>gzem.muslu@gmail.com</t>
  </si>
  <si>
    <t>(538) 084-3298</t>
  </si>
  <si>
    <t>ozandogukanbozdag@gmail.com</t>
  </si>
  <si>
    <t>(0533) 167-3205</t>
  </si>
  <si>
    <t>zeyneperoglu44@gmail.com</t>
  </si>
  <si>
    <t>(0555) 601-6981</t>
  </si>
  <si>
    <t>necegeyik@gmail.com</t>
  </si>
  <si>
    <t>(536) 882-9627</t>
  </si>
  <si>
    <t>serdarezber@gmail.com</t>
  </si>
  <si>
    <t>(0553) 457-4698</t>
  </si>
  <si>
    <t>mmervekorkmaz@gmail.com</t>
  </si>
  <si>
    <t>(0505) 720-5549</t>
  </si>
  <si>
    <t>Kanser Tedavisine Yönelik Fonksiyonel Polimerik Nanopartiküller</t>
  </si>
  <si>
    <t>bozyagmur1@gmail.com</t>
  </si>
  <si>
    <t>(0545) 728-9388</t>
  </si>
  <si>
    <t>zafer.tanriverdi@gmail.com</t>
  </si>
  <si>
    <t>(537) 728-3273</t>
  </si>
  <si>
    <t>elifdevrim7@gmail.com</t>
  </si>
  <si>
    <t>(0541) 268-9449</t>
  </si>
  <si>
    <t>sinemsipahioglukara@gmail.com</t>
  </si>
  <si>
    <t>(0534) 544-1187</t>
  </si>
  <si>
    <t>yunusemrebulut.28@gmail.com</t>
  </si>
  <si>
    <t>(0538) 398-0283</t>
  </si>
  <si>
    <t>nacardeniz@gmail.com</t>
  </si>
  <si>
    <t>(0538) 510-2919</t>
  </si>
  <si>
    <t>Savaş Gemilerinin Tasarım Aşamasında Beka Yönünden Değerlendirilmesi</t>
  </si>
  <si>
    <t>kadirataseven@hotmail.com</t>
  </si>
  <si>
    <t>(0531) 781-7331</t>
  </si>
  <si>
    <t>İçten Yanmalı Motorlarda Azot Oksit Emisyonlarının Modellenmesi</t>
  </si>
  <si>
    <t>naim_donmez@hotmail.com</t>
  </si>
  <si>
    <t>(0543) 323-0610</t>
  </si>
  <si>
    <t>alivurgun92@gmail.com</t>
  </si>
  <si>
    <t>(0538) 525-2749</t>
  </si>
  <si>
    <t>ataycanan@gmail.com</t>
  </si>
  <si>
    <t>(0532) 331-8811</t>
  </si>
  <si>
    <t>seraph1903@gmail.com</t>
  </si>
  <si>
    <t>(0553) 492-1080</t>
  </si>
  <si>
    <t>serkan.yildirim@live.com</t>
  </si>
  <si>
    <t>(0507) 371-4184</t>
  </si>
  <si>
    <t>gokturksenturk@gmail.com</t>
  </si>
  <si>
    <t>(0541) 213-4637</t>
  </si>
  <si>
    <t>Mimarlığın Temsilinden Temsilin Mimarisine</t>
  </si>
  <si>
    <t>ersany@gmail.com</t>
  </si>
  <si>
    <t>(0555) 634-5753</t>
  </si>
  <si>
    <t>ezelkefeli@gmail.com</t>
  </si>
  <si>
    <t>(0537) 282-1655</t>
  </si>
  <si>
    <t>Paslanmaz Çeliklerin Kaynak Kabiliyetleri Ve Oluşabilecek Kaynak Hataları</t>
  </si>
  <si>
    <t>orkunozsavaner@gmail.com</t>
  </si>
  <si>
    <t>(0542) 453-6512</t>
  </si>
  <si>
    <t>Fen Eğitiminde Motivasyon Ölçeği: Geçerlik, Güvenirlik Çalışması</t>
  </si>
  <si>
    <t>isikosman1987@gmail.com</t>
  </si>
  <si>
    <t>(0534) 911-3696</t>
  </si>
  <si>
    <t>serhatuz@gmail.com</t>
  </si>
  <si>
    <t>(0535) 278-4340</t>
  </si>
  <si>
    <t>Yüksek Modüllü Kolonlarla İyileştirilmiş Sıvılaşabilir Zeminlerin Davranışının İncelenmesi</t>
  </si>
  <si>
    <t>seljukdemir4071@gmail.com</t>
  </si>
  <si>
    <t>(0553) 679-7871</t>
  </si>
  <si>
    <t>esraydnn@gmail.com</t>
  </si>
  <si>
    <t>(0530) 701-4124</t>
  </si>
  <si>
    <t>sumeyyebuyuktorun@gmail.com</t>
  </si>
  <si>
    <t>(0506) 428-9131</t>
  </si>
  <si>
    <t>muhammetyeler@gmail.com</t>
  </si>
  <si>
    <t>(0541) 905-7150</t>
  </si>
  <si>
    <t>edaguur@gmail.com</t>
  </si>
  <si>
    <t>(0546) 576-8184</t>
  </si>
  <si>
    <t>mustafergun@hotmail.com</t>
  </si>
  <si>
    <t>(0544) 829-1070</t>
  </si>
  <si>
    <t>Kuantum Kodlarda Dualite Kavramı</t>
  </si>
  <si>
    <t>mustafasar7@gmail.com</t>
  </si>
  <si>
    <t>(0505) 704-7630</t>
  </si>
  <si>
    <t>Katmanlı Üretim Yöntemiyle Mekanik Parça Optimizasyonu</t>
  </si>
  <si>
    <t>kerem_boyali@hotmail.com</t>
  </si>
  <si>
    <t>(0535) 309-6585</t>
  </si>
  <si>
    <t>f5215015@std.yildiz.edu.tr</t>
  </si>
  <si>
    <t>(0554) 527-6444</t>
  </si>
  <si>
    <t>unluezginur@gmail.com</t>
  </si>
  <si>
    <t>(0532) 471-7490</t>
  </si>
  <si>
    <t>isilburcak@gmail.com</t>
  </si>
  <si>
    <t>(0536) 431-3072</t>
  </si>
  <si>
    <t>samra_ugljanin@hotmail.com</t>
  </si>
  <si>
    <t>(0551) 712-9470</t>
  </si>
  <si>
    <t>e.halitoglu@gmail.com</t>
  </si>
  <si>
    <t>(0531) 377-6118</t>
  </si>
  <si>
    <t>hazalsatilmis.89@gmail.com</t>
  </si>
  <si>
    <t>(0537) 763-4986</t>
  </si>
  <si>
    <t>m.mervegultekin@gmail.com</t>
  </si>
  <si>
    <t>(0506) 554-5200</t>
  </si>
  <si>
    <t>hande_nalcakan@yahoo.com</t>
  </si>
  <si>
    <t>(0536) 899-4239</t>
  </si>
  <si>
    <t>Lineer Olmayan Adi Diferansiyel Denklemlerin Bir Sınıfının Taylor Ve Hermite Serileri İle Yaklaşık Çözümleri Ve Rezidüel Hata Analizleri</t>
  </si>
  <si>
    <t>sabaozgekaya@gmail.com</t>
  </si>
  <si>
    <t>(0507) 187-6465</t>
  </si>
  <si>
    <t>ciftci.gozde@hotmail.com</t>
  </si>
  <si>
    <t>(0544) 290-9292</t>
  </si>
  <si>
    <t>m.sibelsurmeli@gmail.com</t>
  </si>
  <si>
    <t>(0505) 219-6109</t>
  </si>
  <si>
    <t>Konut Kullanıcılarının Konut Satın Alma Kararlarını Etkileyen Faktörler; Çanakkale İli Konut Projeleri Örneği</t>
  </si>
  <si>
    <t>baytannese@gmail.com</t>
  </si>
  <si>
    <t>(0532) 342-9005</t>
  </si>
  <si>
    <t>csoycan@gmail.com</t>
  </si>
  <si>
    <t>(0533) 617-4496</t>
  </si>
  <si>
    <t>fasilhan@gmail.com</t>
  </si>
  <si>
    <t>(0553) 439-3999</t>
  </si>
  <si>
    <t>satikose@gmail.com</t>
  </si>
  <si>
    <t>(0543) 488-0295</t>
  </si>
  <si>
    <t>onuroruc85@hotmail.com</t>
  </si>
  <si>
    <t>(0533) 775-7427</t>
  </si>
  <si>
    <t>edasyl@gmail.com</t>
  </si>
  <si>
    <t>(0505) 775-2404</t>
  </si>
  <si>
    <t>gizemdemirtas34@gmail.com</t>
  </si>
  <si>
    <t>(0537) 655-7182</t>
  </si>
  <si>
    <t>arch.mervealtin@gmail.com</t>
  </si>
  <si>
    <t>(0535) 500-0539</t>
  </si>
  <si>
    <t>aysununal09@gmail.com</t>
  </si>
  <si>
    <t>(0544) 775-6884</t>
  </si>
  <si>
    <t>Dökülebilir Refrakterlerde Su-Toz Oranının Mukavemete Etkisi</t>
  </si>
  <si>
    <t>fatihkabadayi92@gmail.com</t>
  </si>
  <si>
    <t>(0542) 808-2318</t>
  </si>
  <si>
    <t>f.okumus@mersin.edu.tr</t>
  </si>
  <si>
    <t>(0537) 602-0575</t>
  </si>
  <si>
    <t>Mikroalgal Biyokütleden Biyoyakıt Üretim Teknolojileri</t>
  </si>
  <si>
    <t>ilaysarilar@gmail.com</t>
  </si>
  <si>
    <t>(0534) 606-6453</t>
  </si>
  <si>
    <t>elifsoyleriz@hotmail.com</t>
  </si>
  <si>
    <t>(0537) 586-0612</t>
  </si>
  <si>
    <t>ttugce.genc@gmail.com</t>
  </si>
  <si>
    <t>(0553) 504-9194</t>
  </si>
  <si>
    <t>mimar.zyamac@gmail.com</t>
  </si>
  <si>
    <t>(0530) 385-2195</t>
  </si>
  <si>
    <t>gizemkahramann@gmail.com</t>
  </si>
  <si>
    <t>(5353) 852-894</t>
  </si>
  <si>
    <t>Basamaklı Dalgakıranlarda Dalga Aşmasının Deneysel Araştırılması</t>
  </si>
  <si>
    <t>sulearukan@gmail.com</t>
  </si>
  <si>
    <t>(0546) 895-8086</t>
  </si>
  <si>
    <t>a.sametkizilaslan@gmail.com</t>
  </si>
  <si>
    <t>(0506) 399-8293</t>
  </si>
  <si>
    <t>muzaffercevik07@hotmail.com</t>
  </si>
  <si>
    <t>(0536) 968-7273</t>
  </si>
  <si>
    <t>Mimaride Etkileşimli Sistemlerin Entegrasyonu</t>
  </si>
  <si>
    <t>kubra_gulbahar89@gmail.com</t>
  </si>
  <si>
    <t>(0553) 764-3440</t>
  </si>
  <si>
    <t>Meydanı Oluşturan Yapıların Fonksiyonel Sürekliliği Beyazıt Meydanı Örneği</t>
  </si>
  <si>
    <t>dilarasayin@hotmail.com</t>
  </si>
  <si>
    <t>(0532) 667-9208</t>
  </si>
  <si>
    <t>Kinematik Deformasyon Analizinin Güvenirliği</t>
  </si>
  <si>
    <t>utkandurdag@gmail.com</t>
  </si>
  <si>
    <t>(0530) 038-3058</t>
  </si>
  <si>
    <t>Çok Bimli İskandil İle Bentik Habitat Biyoçeşitliğinin Belirlenme Olanaklarının Araştırılması</t>
  </si>
  <si>
    <t>bakirman@yildiz.edu.tr</t>
  </si>
  <si>
    <t>(0537) 323-3772</t>
  </si>
  <si>
    <t>sbedir@yildiz.edu.tr</t>
  </si>
  <si>
    <t>(0553) 617-9373</t>
  </si>
  <si>
    <t>leyesilbas21@gmail.com</t>
  </si>
  <si>
    <t>(0537) 299-3540</t>
  </si>
  <si>
    <t>nesrinak86@gmail.com</t>
  </si>
  <si>
    <t>(0535) 482-7429</t>
  </si>
  <si>
    <t>01.utku@gmail.com</t>
  </si>
  <si>
    <t>(0533) 571-1193</t>
  </si>
  <si>
    <t>mustfkeskin@gmail.com</t>
  </si>
  <si>
    <t>(0538) 432-0753</t>
  </si>
  <si>
    <t>ozguryildiz56@gmail.com</t>
  </si>
  <si>
    <t>(0507) 138-0559</t>
  </si>
  <si>
    <t>mustafaalperustuner@gmail.com</t>
  </si>
  <si>
    <t>(0538) 564-5914</t>
  </si>
  <si>
    <t>ozturkselva90@gmail.com</t>
  </si>
  <si>
    <t>(0506) 813-3407</t>
  </si>
  <si>
    <t>mrgenco@gmail.com</t>
  </si>
  <si>
    <t>(0536) 940-9775</t>
  </si>
  <si>
    <t>ozlem.demirtepe@gmail.com</t>
  </si>
  <si>
    <t>(0506) 569-7855</t>
  </si>
  <si>
    <t>Görüntü İşlemede Derin Öğrenme Algoritmalarının Uygulanması</t>
  </si>
  <si>
    <t>sinan.sivri1@gmail.com</t>
  </si>
  <si>
    <t>(0537) 819-5373</t>
  </si>
  <si>
    <t>f0812102@std.yildiz.edu.tr</t>
  </si>
  <si>
    <t>(0530) 505-3485</t>
  </si>
  <si>
    <t>ecemkiliclar@gmail.com</t>
  </si>
  <si>
    <t>(0539) 933-0525</t>
  </si>
  <si>
    <t>metehan.sonmez.03@gmail.com</t>
  </si>
  <si>
    <t>(0538) 422-1245</t>
  </si>
  <si>
    <t>ruaa.safi@yahoo.com</t>
  </si>
  <si>
    <t>(0531) 699-3479</t>
  </si>
  <si>
    <t>terziogluduygu@gmail.com</t>
  </si>
  <si>
    <t>(0534) 656-1032</t>
  </si>
  <si>
    <t>huseyinyesilyurt01@gmail.com</t>
  </si>
  <si>
    <t>(0545) 201-0114</t>
  </si>
  <si>
    <t>omerzubeyr.ozerdem@gmail.com</t>
  </si>
  <si>
    <t>(0532) 321-7112</t>
  </si>
  <si>
    <t>kayranbilal@gmail.com</t>
  </si>
  <si>
    <t>(0544) 904-0541</t>
  </si>
  <si>
    <t>İstanbul Metrosunda Havalandırma Sistemleri Ve Duman Tahliyesi</t>
  </si>
  <si>
    <t>gaffary@gmail.com</t>
  </si>
  <si>
    <t>(0530) 549-6926</t>
  </si>
  <si>
    <t>memet_anar@hotmail.com</t>
  </si>
  <si>
    <t>(0536) 597-8858</t>
  </si>
  <si>
    <t>Trieste Kentinin İkinci Dünya Savaşı Sonrası Yeniden Yapılanma Şekli</t>
  </si>
  <si>
    <t>cansu.inal@gmail.com</t>
  </si>
  <si>
    <t>(535) 737-5254</t>
  </si>
  <si>
    <t>irfankaraagac@live.com</t>
  </si>
  <si>
    <t>(0530) 330-3631</t>
  </si>
  <si>
    <t>bayramgkhan@gmail.com</t>
  </si>
  <si>
    <t>(0507) 680-1238</t>
  </si>
  <si>
    <t>esmaefe@yahoo.com</t>
  </si>
  <si>
    <t>(0532) 326-3211</t>
  </si>
  <si>
    <t>vedatbalikci@gmail.com</t>
  </si>
  <si>
    <t>(0541) 889-0034</t>
  </si>
  <si>
    <t>cansuaydgdu@gmail.com</t>
  </si>
  <si>
    <t>(0537) 474-3888</t>
  </si>
  <si>
    <t>Smart Grid Uygulamasının Güneş Enerjili Sistemlerde Kullanımı</t>
  </si>
  <si>
    <t>keremgul.91@hotmail.com</t>
  </si>
  <si>
    <t>(0543) 575-7536</t>
  </si>
  <si>
    <t>mugeerdi@gmail.com</t>
  </si>
  <si>
    <t>(0537) 418-8890</t>
  </si>
  <si>
    <t>ipekcakin@gmail.com</t>
  </si>
  <si>
    <t>(0544) 566-7877</t>
  </si>
  <si>
    <t>Toplu Taşımacılıkta Hizmet Kalitesi.Yolcu Memnuniyeti Araştırması İstanbul Uygulaması</t>
  </si>
  <si>
    <t>baranalpozkan@yahoo.com.tr</t>
  </si>
  <si>
    <t>(0543) 713-6804</t>
  </si>
  <si>
    <t>naseralhoseen88@gmail.com</t>
  </si>
  <si>
    <t>(0536) 725-6114</t>
  </si>
  <si>
    <t>gulsemay.yigit@gmail.com</t>
  </si>
  <si>
    <t>(0533) 149-0885</t>
  </si>
  <si>
    <t>sitkikocaoglu@hotmail.com</t>
  </si>
  <si>
    <t>(0535) 526-1418</t>
  </si>
  <si>
    <t>Öğrenci No:</t>
  </si>
  <si>
    <t>Jüri-1</t>
  </si>
  <si>
    <t>Jüri-2</t>
  </si>
  <si>
    <t>Jüri-3</t>
  </si>
  <si>
    <t>Jüri-4</t>
  </si>
  <si>
    <t>Kurum İçi</t>
  </si>
  <si>
    <t>Kurum Dışı</t>
  </si>
  <si>
    <t xml:space="preserve">Bu tabloda </t>
  </si>
  <si>
    <t>nolu öğrenci bilgileri getirilmiştir</t>
  </si>
  <si>
    <t>Öğrenci Adı-Soyadı:</t>
  </si>
  <si>
    <t>Gsis Kayıt Tarihi:</t>
  </si>
  <si>
    <t>Danışman Adı-Soyadı:</t>
  </si>
  <si>
    <t>Tez Başlığı(GSİS)</t>
  </si>
  <si>
    <t>Yayın Şartı</t>
  </si>
  <si>
    <t>Akademik Ünvan</t>
  </si>
  <si>
    <t>Fakülte (Kadrosu)</t>
  </si>
  <si>
    <t>Bölüm (Kadrosu)</t>
  </si>
  <si>
    <t>MAKİNE FAKÜLTESİ</t>
  </si>
  <si>
    <t>TezDanismanAdi</t>
  </si>
  <si>
    <t>YayinSarti</t>
  </si>
  <si>
    <t>PatentSayisi</t>
  </si>
  <si>
    <t>ProjeSayisi</t>
  </si>
  <si>
    <t>UBildiriSayisi</t>
  </si>
  <si>
    <t>UMakaleSayisi</t>
  </si>
  <si>
    <t>UABildiriSayisi</t>
  </si>
  <si>
    <t>UAMakaleSayisi</t>
  </si>
  <si>
    <t>Var</t>
  </si>
  <si>
    <t>Doç. Dr. OSMAN İSMAİL</t>
  </si>
  <si>
    <t>Yok</t>
  </si>
  <si>
    <t>Prof. Dr. Hasan SADIKOĞLU</t>
  </si>
  <si>
    <t>Doç. Dr. CİHAN DEMİR</t>
  </si>
  <si>
    <t>Doç. Dr. CEM BÜLENT ÜSTÜNDAĞ</t>
  </si>
  <si>
    <t>Doç. Dr. Hakan AKÇAY</t>
  </si>
  <si>
    <t>Doç. Dr. YASEMEN SAY ÖZER</t>
  </si>
  <si>
    <t>Doç. Dr. Bahadır Gülsün</t>
  </si>
  <si>
    <t>Doç. Dr. SERHAT BAŞDOĞAN</t>
  </si>
  <si>
    <t>Doç. Dr. M. Zafer AKDEMİR</t>
  </si>
  <si>
    <t>Doç. Dr. Kunter Manisa</t>
  </si>
  <si>
    <t>Prof. Dr. Tülay YILDIRIM</t>
  </si>
  <si>
    <t>Doç. Dr. Erkan AVLAR</t>
  </si>
  <si>
    <t>Doç. Dr. Funda Öztürk Kerestecioğlu</t>
  </si>
  <si>
    <t>Doç. Dr. Elçin DEMİRHAN YILMAZ</t>
  </si>
  <si>
    <t>Doç. Dr. Cem AKÇA</t>
  </si>
  <si>
    <t>Doç. Dr. Çiğdem Oruç</t>
  </si>
  <si>
    <t>Doç. Dr. Mehmet Murat ÖZMEN</t>
  </si>
  <si>
    <t>Doç. Dr. Yasemen Kalpaklı</t>
  </si>
  <si>
    <t>Prof. Dr. İbrahim IŞILDAK</t>
  </si>
  <si>
    <t>Prof. Dr. Bahri Şahin</t>
  </si>
  <si>
    <t>Prof. Dr. Ali Melih Başaraner</t>
  </si>
  <si>
    <t>Prof. Dr. Vasfi Emre ÖMÜRLÜ</t>
  </si>
  <si>
    <t>Doç. Dr. NİHAT KABAY</t>
  </si>
  <si>
    <t>Doç. Dr. Özgur YILDIRIM</t>
  </si>
  <si>
    <t>Doç. Dr. Semih SEZER</t>
  </si>
  <si>
    <t>Prof. Dr. Muhammet Arıcı</t>
  </si>
  <si>
    <t>Prof. Dr. Bülent BAYRAM</t>
  </si>
  <si>
    <t>Doç. Dr. Burak AYDOĞAN</t>
  </si>
  <si>
    <t>Prof. Dr. Erol KAM</t>
  </si>
  <si>
    <t>Doç. Dr. İbrahim Demir</t>
  </si>
  <si>
    <t>Prof. Dr. Mehmet Emin Yurci</t>
  </si>
  <si>
    <t>Prof. Dr. Nur URFALIOĞLU</t>
  </si>
  <si>
    <t>Doç. Dr. Zafer Kütüğ</t>
  </si>
  <si>
    <t>Doç. Dr. Cüneyt Yılmaz</t>
  </si>
  <si>
    <t>Doç. Dr. ZAFER KÜTÜĞ</t>
  </si>
  <si>
    <t>Prof. Dr. Selçuk Çebi</t>
  </si>
  <si>
    <t>Prof. Dr. Bürge AŞÇI</t>
  </si>
  <si>
    <t>Doç. Dr. Anıl AKDOĞAN</t>
  </si>
  <si>
    <t>Prof. Dr. Naci Yastıklı</t>
  </si>
  <si>
    <t>Prof. Dr. Mustafa Sami TOPÇU</t>
  </si>
  <si>
    <t>Doç. Dr. N. Özlem Ünverdi</t>
  </si>
  <si>
    <t>Doç. Dr. Muhammet Kurulay</t>
  </si>
  <si>
    <t>Prof. Dr. Tülay Yıldırım</t>
  </si>
  <si>
    <t>Doç. Dr. Hakan YAZICI</t>
  </si>
  <si>
    <t>Doç. Dr. Elvan Ebru OMAY POLAT</t>
  </si>
  <si>
    <t>Prof. Dr. Orhan İÇELLİ</t>
  </si>
  <si>
    <t>Prof. Dr. Nizamettin Aydın</t>
  </si>
  <si>
    <t>Prof. Dr. Ayşegül AKDOĞAN EKER</t>
  </si>
  <si>
    <t>Doç. Dr. Mehmet Zafer AKDEMİR</t>
  </si>
  <si>
    <t>Prof. Dr. Nazlı Ferah AKINCI</t>
  </si>
  <si>
    <t>Doç. Dr. Selçuk Alp</t>
  </si>
  <si>
    <t>Prof. Dr. Ahmet TOPUZ</t>
  </si>
  <si>
    <t>Doç. Dr. BURHANETTİN ÇETİN</t>
  </si>
  <si>
    <t>Prof. Dr. Şeref Naci Engin</t>
  </si>
  <si>
    <t>Prof. Dr. M. Gül AKDENİZ</t>
  </si>
  <si>
    <t>Prof. Dr. M. Gül Akdeniz</t>
  </si>
  <si>
    <t>Doç. Dr. Seyfettin BAYRAKTAR</t>
  </si>
  <si>
    <t>Prof. Dr. Zehra Canan GİRGİN</t>
  </si>
  <si>
    <t>Doç. Dr. Gökhan BİLGİN</t>
  </si>
  <si>
    <t>Prof. Dr. Nabi YÜZER</t>
  </si>
  <si>
    <t>Doç. Dr. Feride Pınar ARABACIOĞLU</t>
  </si>
  <si>
    <t>Doç. Dr. H. SELİM ÖKEM</t>
  </si>
  <si>
    <t>Prof. Dr. Zehra Canan Girgin</t>
  </si>
  <si>
    <t>Doç. Dr. AlpTekin ERGENÇ</t>
  </si>
  <si>
    <t>Prof. Dr. Can BİNAN</t>
  </si>
  <si>
    <t>Doç. Dr. CANDAN ÇINAR ÇITAK</t>
  </si>
  <si>
    <t>Doç. Dr. Hacı İLHAN</t>
  </si>
  <si>
    <t>Doç. Dr. Nezir AYDIN</t>
  </si>
  <si>
    <t>Doç. Dr. Cenk HAMAMCIOĞLU</t>
  </si>
  <si>
    <t>Doç. Dr. Gülder KEMALBAY</t>
  </si>
  <si>
    <t>Doç. Dr. Osman İSMAİL</t>
  </si>
  <si>
    <t>Prof. Dr. OSMAN SAĞDIÇ</t>
  </si>
  <si>
    <t>Doç. Dr. Ayşen CİRAVOĞLU</t>
  </si>
  <si>
    <t>Prof. Dr. Gülay ZORER GEDİK</t>
  </si>
  <si>
    <t>Prof. Dr. ZEYNEL YALÇIN</t>
  </si>
  <si>
    <t>Doç. Dr. Hakan Yazıcı</t>
  </si>
  <si>
    <t>Prof. Dr. IBRAHIM DOYMAZ</t>
  </si>
  <si>
    <t>Prof. Dr. Can Şakir Binan</t>
  </si>
  <si>
    <t>Doç. Dr. FİKRET TOKAN</t>
  </si>
  <si>
    <t>Prof. Dr. Can Şakir BİNAN</t>
  </si>
  <si>
    <t>Doç. Dr. Bora YERLİYURT</t>
  </si>
  <si>
    <t>Doç. Dr. GAMZE VARANK</t>
  </si>
  <si>
    <t>Prof. Dr. Leyla Dokuzer ÖZTÜRK</t>
  </si>
  <si>
    <t>Doç. Dr. OYA AKIN</t>
  </si>
  <si>
    <t>Doç. Dr. ZEYNEP IŞIK</t>
  </si>
  <si>
    <t>Prof. Dr. NUR URFALIOĞLU</t>
  </si>
  <si>
    <t>Doç. Dr. Mehmet Nuri İlgürel</t>
  </si>
  <si>
    <t>Prof. Dr. BELKIZ BİLGİN ERAN</t>
  </si>
  <si>
    <t>Prof. Dr. Ömür Barkul</t>
  </si>
  <si>
    <t>Doç. Dr. BAHADIR GÜLSÜN</t>
  </si>
  <si>
    <t>Doç. Dr. Mehmet BOZCA</t>
  </si>
  <si>
    <t>Doç. Dr. Tolga MERT</t>
  </si>
  <si>
    <t>Prof. Dr. Adem BAKKALOĞLU</t>
  </si>
  <si>
    <t>Prof. Dr. HÜSEYİN CENGİZ</t>
  </si>
  <si>
    <t>Prof. Dr. Bayram COŞTU</t>
  </si>
  <si>
    <t>Doç. Dr. Ayten Erdem</t>
  </si>
  <si>
    <t>Doç. Dr. Fatih Gülgen</t>
  </si>
  <si>
    <t>Doç. Dr. M. Tolga AKBULUT</t>
  </si>
  <si>
    <t>Prof. Dr. Tarık Eren</t>
  </si>
  <si>
    <t>Doç. Dr. Elçin Demirhan Yılmaz</t>
  </si>
  <si>
    <t>Prof. Dr. Umut Rıfat Tuzkaya</t>
  </si>
  <si>
    <t>Doç. Dr. Doç. Dr. Aynur ÇİFTÇİ</t>
  </si>
  <si>
    <t>Prof. Dr. ŞEBNEM YALINAY ÇİNİCİ</t>
  </si>
  <si>
    <t>Prof. Dr. Mihrigül ALTAN</t>
  </si>
  <si>
    <t>Prof. Dr. Bayram Coştu</t>
  </si>
  <si>
    <t>Doç. Dr. Bedri Onur KÜÇÜKYILDIRIM</t>
  </si>
  <si>
    <t>Prof. Dr. Zeynep ENLİL</t>
  </si>
  <si>
    <t>Doç. Dr. Dilek EKŞİ AKBULUT</t>
  </si>
  <si>
    <t>Prof. Dr. BELMA ÖZBEK</t>
  </si>
  <si>
    <t>Prof. Dr. İbrahim Doymaz</t>
  </si>
  <si>
    <t>Doç. Dr. Mustafa Gürsoy</t>
  </si>
  <si>
    <t>Doç. Dr. Senem KaYMAZ KOCA</t>
  </si>
  <si>
    <t>Doç. Dr. Nilgün Çolpan Erkan</t>
  </si>
  <si>
    <t>Doç. Dr. İBRAHİM DEMİR</t>
  </si>
  <si>
    <t>Doç. Dr. Cihan Demir</t>
  </si>
  <si>
    <t>Prof. Dr. Murat SARI</t>
  </si>
  <si>
    <t>Prof. Dr. ÇİĞDEM POLATOĞLU</t>
  </si>
  <si>
    <t>Prof. Dr. Galip Temir</t>
  </si>
  <si>
    <t>Doç. Dr. ERTAN ARSLANKAYA</t>
  </si>
  <si>
    <t>Doç. Dr. Zeynep GÜVEN ÖZDEMİR</t>
  </si>
  <si>
    <t>Doç. Dr. Senem KAYMAZ KOCA</t>
  </si>
  <si>
    <t>Prof. Dr. Rengin ÜNVER</t>
  </si>
  <si>
    <t>Doç. Dr. Saadet A. BERİLGEN</t>
  </si>
  <si>
    <t>Prof. Dr. Fatma TİRYAKİ</t>
  </si>
  <si>
    <t>Doç. Dr. Halit ÖZEN</t>
  </si>
  <si>
    <t>Doç. Dr. Elif ÖRNEK ÖZDEN</t>
  </si>
  <si>
    <t>Prof. Dr. M. Emin Yurci</t>
  </si>
  <si>
    <t>Doç. Dr. Alev ERKMEN</t>
  </si>
  <si>
    <t>Doç. Dr. Serhat Bahadır KERT</t>
  </si>
  <si>
    <t>Prof. Dr. Mehmet Hikmet Yükselici</t>
  </si>
  <si>
    <t>Doç. Dr. Didem Özçimen</t>
  </si>
  <si>
    <t>Doç. Dr. Gökçe TUNA TAYGUN</t>
  </si>
  <si>
    <t>Prof. Dr. Alev TAŞKIN GÜMÜŞ</t>
  </si>
  <si>
    <t>Prof. Dr. Yiğit EVREN</t>
  </si>
  <si>
    <t>Prof. Dr. GÜRAY ARSLAN</t>
  </si>
  <si>
    <t>Prof. Dr. Hülya ŞAHİNTÜRK</t>
  </si>
  <si>
    <t>Prof. Dr. Cemalettin YAMAN</t>
  </si>
  <si>
    <t>Prof. Dr. CEMALETTİN YAMAN</t>
  </si>
  <si>
    <t>Doç. Dr. CEYLAN İREM GENÇER</t>
  </si>
  <si>
    <t>Doç. Dr. Burhanettin Çetin</t>
  </si>
  <si>
    <t>Doç. Dr. M. Betül YILMAZ</t>
  </si>
  <si>
    <t>Prof. Dr. Buket Ayşegül ÖZBAKIR</t>
  </si>
  <si>
    <t>Prof. Dr. ÖMÜR BARKUL</t>
  </si>
  <si>
    <t>Doç. Dr. Mehmet Doruk Özügül</t>
  </si>
  <si>
    <t>Doç. Dr. Işıl KERTİ</t>
  </si>
  <si>
    <t>Prof. Dr. Leyla DOKUZER ÖZTÜRK</t>
  </si>
  <si>
    <t>Prof. Dr. Özden AĞRA</t>
  </si>
  <si>
    <t>Prof. Dr. Arslan SARAL</t>
  </si>
  <si>
    <t>Prof. Dr. ASUMAN TÜRKÜN</t>
  </si>
  <si>
    <t>Prof. Dr. Belma ÖZBEK</t>
  </si>
  <si>
    <t>Prof. Dr. ZEKİYE YENEN</t>
  </si>
  <si>
    <t>Prof. Dr. Derya Burcu Özkan</t>
  </si>
  <si>
    <t>Doç. Dr. H. Selim ÖKEM</t>
  </si>
  <si>
    <t>Doç. Dr. N. HÜLYA BERKMEN</t>
  </si>
  <si>
    <t>Prof. Dr. MEHMET M. BERİLGEN</t>
  </si>
  <si>
    <t>Prof. Dr. ZEHRA CANAN GİRGİN</t>
  </si>
  <si>
    <t>Prof. Dr. NERGİS ARSU</t>
  </si>
  <si>
    <t>Prof. Dr. İbrahim DOYMAZ</t>
  </si>
  <si>
    <t>Doç. Dr. Tolga İslam</t>
  </si>
  <si>
    <t>Doç. Dr. Ahmet Selim DALKILIÇ</t>
  </si>
  <si>
    <t>Prof. Dr. Hakan Kaleli</t>
  </si>
  <si>
    <t>Doç. Dr. Gökçe Tuna Taygun</t>
  </si>
  <si>
    <t>Prof. Dr. Meral ERDOĞAN</t>
  </si>
  <si>
    <t>Prof. Dr. Asuman TÜRKÜN</t>
  </si>
  <si>
    <t>Doç. Dr. Aydın Seçer</t>
  </si>
  <si>
    <t>Doç. Dr. İrem Ceylan GENÇER</t>
  </si>
  <si>
    <t>Doç. Dr. MEHMET NURİ İLGÜREL</t>
  </si>
  <si>
    <t>Doç. Dr. Almula KÖKSAL</t>
  </si>
  <si>
    <t>Doç. Dr. Güven Gonca</t>
  </si>
  <si>
    <t>Doç. Dr. Alp Tekin Ergenç</t>
  </si>
  <si>
    <t>Doç. Dr. Ahmet Selim Dalkılıç</t>
  </si>
  <si>
    <t>Prof. Dr. Gülay Zorer Gedik</t>
  </si>
  <si>
    <t>Prof. Dr. Selim AY</t>
  </si>
  <si>
    <t>Doç. Dr. Funda S. KERESTECİOĞLU</t>
  </si>
  <si>
    <t>Doç. Dr. Ercan İZGİ</t>
  </si>
  <si>
    <t>Doç. Dr. Dolunay Şakar Daşdan</t>
  </si>
  <si>
    <t>Prof. Dr. Rengin Ünver</t>
  </si>
  <si>
    <t>Prof. Dr. Zeynep Gül ÜNAL</t>
  </si>
  <si>
    <t>Doç. Dr. M.Ümit GÜMÜŞAY</t>
  </si>
  <si>
    <t>Prof. Dr. Rahmi GÜÇLÜ</t>
  </si>
  <si>
    <t>Doç. Dr. Nuri İlgürel</t>
  </si>
  <si>
    <t>Doç. Dr. Ebru OMAY POLAT</t>
  </si>
  <si>
    <t>Prof. Dr. Nur Urfalıoğlu</t>
  </si>
  <si>
    <t>Prof. Dr. Nurettin UMURKAN</t>
  </si>
  <si>
    <t>Doç. Dr. Aydın Yeşildirek</t>
  </si>
  <si>
    <t>Prof. Dr. Suat Akbulut</t>
  </si>
  <si>
    <t>Prof. Dr. Şeref Naci ENGİN</t>
  </si>
  <si>
    <t>Doç. Dr. Kunter MANİSA</t>
  </si>
  <si>
    <t>Doç. Dr. ERKAN AVLAR</t>
  </si>
  <si>
    <t>Doç. Dr. Ceylan İrem GENÇER</t>
  </si>
  <si>
    <t>Prof. Dr. İbrahim Işıldak</t>
  </si>
  <si>
    <t>Prof. Dr. ALİ FUAT GÜNERİ</t>
  </si>
  <si>
    <t>Doç. Dr. Elvan Ebru Omay Polat</t>
  </si>
  <si>
    <t>Doç. Dr. Dilek Duranoğlu</t>
  </si>
  <si>
    <t>Doç. Dr. Volkan Sözer</t>
  </si>
  <si>
    <t>Prof. Dr. Nergis ARSU</t>
  </si>
  <si>
    <t>Prof. Dr. Lütfiye DURAK-ATA</t>
  </si>
  <si>
    <t>Prof. Dr. İCLAL DİNÇER</t>
  </si>
  <si>
    <t>Doç. Dr. BERNA DİKÇINAR SEL</t>
  </si>
  <si>
    <t>Doç. Dr. Ergün KELEŞOĞLU</t>
  </si>
  <si>
    <t>Prof. Dr. Sırma R. TURGUT</t>
  </si>
  <si>
    <t>Doç. Dr. Ceylan İren GENÇER</t>
  </si>
  <si>
    <t>Doç. Dr. AYŞE ERDÖLEN</t>
  </si>
  <si>
    <t>Prof. Dr. EYÜP DEBİK</t>
  </si>
  <si>
    <t>Prof. Dr. İBRAHİM DOYMAZ</t>
  </si>
  <si>
    <t>Doç. Dr. Esin Özlem Aktuğlu Aktan</t>
  </si>
  <si>
    <t>Prof. Dr. Ahmet KIZILAY</t>
  </si>
  <si>
    <t>Prof. Dr. Yücel ŞAHİN</t>
  </si>
  <si>
    <t>Doç. Dr. Aydın YEŞİLDİREK</t>
  </si>
  <si>
    <t>Prof. Dr. SUAT AKBULUT</t>
  </si>
  <si>
    <t>Doç. Dr. Mehmet Şükrü ÖZÇOBAN</t>
  </si>
  <si>
    <t>Prof. Dr. Alev Taşkın Gümüş</t>
  </si>
  <si>
    <t>Prof. Dr. Ferhat DİKMEN</t>
  </si>
  <si>
    <t>Prof. Dr. Gül Akdeniz</t>
  </si>
  <si>
    <t>Prof. Dr. Türkay Gökgöz</t>
  </si>
  <si>
    <t>Doç. Dr. Nilgün Çolpan ERKAN</t>
  </si>
  <si>
    <t>Prof. Dr. Yaşar AVŞAR</t>
  </si>
  <si>
    <t>Doç. Dr. Umut Engin AYTEN</t>
  </si>
  <si>
    <t>Doç. Dr. ESİN ÖZLEM AKTUĞLU AKTAN</t>
  </si>
  <si>
    <t>Prof. Dr. Zehra YUMURTACI</t>
  </si>
  <si>
    <t>Prof. Dr. MYHAMMET ARICI</t>
  </si>
  <si>
    <t>Prof. Dr. Özlem CANKURTARAN</t>
  </si>
  <si>
    <t>Doç. Dr. Mehmet. S. Aktaş</t>
  </si>
  <si>
    <t>Doç. Dr. NEZİR AYDIN</t>
  </si>
  <si>
    <t>Prof. Dr. Zerhan Yüksel Can</t>
  </si>
  <si>
    <t>Doç. Dr. Aynur Çiftçi</t>
  </si>
  <si>
    <t>Prof. Dr. Yalçın Yüksel</t>
  </si>
  <si>
    <t>Doç. Dr. ÖZLEM DOĞAN AYDENİZ</t>
  </si>
  <si>
    <t>Prof. Dr. ÖZDEN AĞRA</t>
  </si>
  <si>
    <t>Prof. Dr. Erhan ALTAN</t>
  </si>
  <si>
    <t>Doç. Dr. Fikret TOKAN</t>
  </si>
  <si>
    <t>Prof. Dr. Yiğit Evren</t>
  </si>
  <si>
    <t>Doç. Dr. İbrahim Başak Dağgülü</t>
  </si>
  <si>
    <t>Prof. Dr. Feride ÖNAL</t>
  </si>
  <si>
    <t>Doç. Dr. Gökhan Bilgin</t>
  </si>
  <si>
    <t>Doç. Dr. Aslı SUNGUR</t>
  </si>
  <si>
    <t>Prof. Dr. Bestami Özkaya</t>
  </si>
  <si>
    <t>Prof. Dr. Hasan Alpay Heperkan</t>
  </si>
  <si>
    <t>Prof. Dr. Ferdane KARAMAN</t>
  </si>
  <si>
    <t>Doç. Dr. M. TOLGA AKBULUT</t>
  </si>
  <si>
    <t>Doç. Dr. Uğur Buğra ÇELEBİ</t>
  </si>
  <si>
    <t>Doç. Dr. Funda KERESTECİOĞLU</t>
  </si>
  <si>
    <t>Doç. Dr. SENEM KAYMAZ KOCA</t>
  </si>
  <si>
    <t>Prof. Dr. NAZLI FERAH AKINCI</t>
  </si>
  <si>
    <t>Doç. Dr. UĞUR KURT</t>
  </si>
  <si>
    <t>Prof. Dr. Tülin Görgülü</t>
  </si>
  <si>
    <t>Prof. Dr. ERHAN ALTAN</t>
  </si>
  <si>
    <t>Prof. Dr. Galip CANSEVER</t>
  </si>
  <si>
    <t>Prof. Dr. Sırma TURGUT</t>
  </si>
  <si>
    <t>Doç. Dr. Ayşen Ciravoğlu</t>
  </si>
  <si>
    <t>Doç. Dr. Emel AKYOL</t>
  </si>
  <si>
    <t>Doç. Dr. Recep YUMURTACI</t>
  </si>
  <si>
    <t>Prof. Dr. Ferhat Dikmen</t>
  </si>
  <si>
    <t>Prof. Dr. Zekiye Yenen</t>
  </si>
  <si>
    <t>Prof. Dr. Hüsnü Cankurtaran</t>
  </si>
  <si>
    <t>Prof. Dr. Muhsin AYDIN</t>
  </si>
  <si>
    <t>Doç. Dr. N. Hülya BERKMEN</t>
  </si>
  <si>
    <t>Doç. Dr. Zafer Sağdıç</t>
  </si>
  <si>
    <t>Doç. Dr. Anıl Akdoğan</t>
  </si>
  <si>
    <t>Prof. Dr. HAKAN DEMİR</t>
  </si>
  <si>
    <t>Prof. Dr. Sevil YÜCEL</t>
  </si>
  <si>
    <t>Doç. Dr. Candan ÇINAR ÇITAK</t>
  </si>
  <si>
    <t>Prof. Dr. Şevket Özgür Atayılmaz</t>
  </si>
  <si>
    <t>Doç. Dr. Ergün Keleşoğlu</t>
  </si>
  <si>
    <t>Doç. Dr. Murat ALAN</t>
  </si>
  <si>
    <t>Prof. Dr. Ş Tülin Görgülü</t>
  </si>
  <si>
    <t>Assoc. Prof. Veli HAKKOYMAZ</t>
  </si>
  <si>
    <t>Doç. Dr. Songül Varlı</t>
  </si>
  <si>
    <t>Prof. Dr. Mehmet Sinan Bilgili</t>
  </si>
  <si>
    <t>Doç. Dr. Ercenk ATA</t>
  </si>
  <si>
    <t>Doç. Dr. Uğur Savaş SELAMOĞLULARU</t>
  </si>
  <si>
    <t>Doç. Dr. Ömer APAYDIN</t>
  </si>
  <si>
    <t>Prof. Dr. TÜLAY YILDIRIM</t>
  </si>
  <si>
    <t>Prof. Dr. Umut Rıfat TUZKAYA</t>
  </si>
  <si>
    <t>Prof. Dr. Hülya Şahintürk</t>
  </si>
  <si>
    <t>Prof. Dr. Mehmet Cengiz CAN</t>
  </si>
  <si>
    <t>Doç. Dr. Burcu ERKMEN</t>
  </si>
  <si>
    <t>Doç. Dr. AYŞE DURUSOY</t>
  </si>
  <si>
    <t>Doç. Dr. Yasemen Say Özer</t>
  </si>
  <si>
    <t>Prof. Dr. Uğur DOĞAN</t>
  </si>
  <si>
    <t>Prof. Dr. Doğan Uğur ŞANLI</t>
  </si>
  <si>
    <t>Prof. Dr. Figen KAYA</t>
  </si>
  <si>
    <t>Doç. Dr. Ahmet Serbes</t>
  </si>
  <si>
    <t>Doç. Dr. M.Betül YILMAZ</t>
  </si>
  <si>
    <t>Doç. Dr. İbrahim Başak DAĞGÜLÜ</t>
  </si>
  <si>
    <t>Prof. Dr. Oya KALIPSIZ</t>
  </si>
  <si>
    <t>Prof. Dr. Osman SAĞDIÇ</t>
  </si>
  <si>
    <t>Doç. Dr. Alev Erkmen ÖZHEKİM</t>
  </si>
  <si>
    <t>Prof. Dr. Rahmi Güçlü</t>
  </si>
  <si>
    <t>Prof. Dr. Meral Erdoğan</t>
  </si>
  <si>
    <t>Prof. Dr. Herman SEDEF</t>
  </si>
  <si>
    <t>Doç. Dr. Cihan DEMİR</t>
  </si>
  <si>
    <t>Doç. Dr. Dilek DURANOĞLU</t>
  </si>
  <si>
    <t>Prof. Dr. Asuman Türkün</t>
  </si>
  <si>
    <t>Doç. Dr. Selçuk ALP</t>
  </si>
  <si>
    <t>Prof. Dr. Çiğdem Polatoğlu</t>
  </si>
  <si>
    <t>Doç. Dr. Candan Çınar Çıtak</t>
  </si>
  <si>
    <t>Prof. Dr. Filiz Güneş</t>
  </si>
  <si>
    <t>Prof. Dr. NACİ YASTIKLI</t>
  </si>
  <si>
    <t>Doç. Dr. Cem Bülent ÜSTÜNDAĞ</t>
  </si>
  <si>
    <t>Doç. Dr. Orhan ÇAKMAK</t>
  </si>
  <si>
    <t>Prof. Dr. Zeynep Gül Ünal</t>
  </si>
  <si>
    <t>Doç. Dr. Ali Gökhan Yavuz</t>
  </si>
  <si>
    <t>Doç. Dr. Serhat Bahadır Kert</t>
  </si>
  <si>
    <t>Prof. Dr. ÖZLEM CANKURTARAN</t>
  </si>
  <si>
    <t>Doç. Dr. Olcay ÇETİNER ÖZDEMİR</t>
  </si>
  <si>
    <t>Doç. Dr. Serkan ALTUNTAŞ</t>
  </si>
  <si>
    <t>Doç. Dr. Ahmet Atıf EVREN</t>
  </si>
  <si>
    <t>Prof. Dr. HÜLYA ŞAHİNTÜRK</t>
  </si>
  <si>
    <t>Prof. Dr. İbrahim Emiroğlu</t>
  </si>
  <si>
    <t>Prof. Dr. Ahmet Dursun ALKAN</t>
  </si>
  <si>
    <t>Prof. Dr. Fuat ALARÇİN</t>
  </si>
  <si>
    <t>Doç. Dr. DİLEK DURANOĞLU</t>
  </si>
  <si>
    <t>Doç. Dr. Ersoy ÖZ</t>
  </si>
  <si>
    <t>Prof. Dr. SIRMA TURGUT</t>
  </si>
  <si>
    <t>Doç. Dr. Erhan Akdoğan</t>
  </si>
  <si>
    <t>Doç. Dr. Ayten ERDEM</t>
  </si>
  <si>
    <t>Doç. Dr. Serap DERMAN</t>
  </si>
  <si>
    <t>Prof. Dr. Kemal ÖZDOĞAN</t>
  </si>
  <si>
    <t>Prof. Dr. İhsan Kaya</t>
  </si>
  <si>
    <t>Doç. Dr. Muhammet Übeydullah Kahveci</t>
  </si>
  <si>
    <t>Prof. Dr. Hüseyin YILMAZ</t>
  </si>
  <si>
    <t>Prof. Dr. Hüseyin Cengiz</t>
  </si>
  <si>
    <t>Doç. Dr. M. Murat ÖZMEN</t>
  </si>
  <si>
    <t>Prof. Dr. MUSTAFA ARSLAN</t>
  </si>
  <si>
    <t>Prof. Dr. Ahmet Karaaslan</t>
  </si>
  <si>
    <t>Doç. Dr. Hakan Akçay</t>
  </si>
  <si>
    <t>Doç. Dr. Pelin ÖZENER</t>
  </si>
  <si>
    <t>Prof. Dr. Ahmet Faruk BAKAN</t>
  </si>
  <si>
    <t>Prof. Dr. Suat AKBULUT</t>
  </si>
  <si>
    <t>Doç. Dr. Kaan YETİLMEZSOY</t>
  </si>
  <si>
    <t>Prof. Dr. AYŞEGÜL AKDOĞAN EKER</t>
  </si>
  <si>
    <t>Doç. Dr. Emre KOLOTOĞLU</t>
  </si>
  <si>
    <t>Doç. Dr. Halit Özen</t>
  </si>
  <si>
    <t>Prof. Dr. AYFER AYTUĞ</t>
  </si>
  <si>
    <t>Doç. Dr. Coşkun Güler</t>
  </si>
  <si>
    <t>Prof. Dr. YAŞAR AVŞAR</t>
  </si>
  <si>
    <t>Prof. Dr. Naci YASTIKLI</t>
  </si>
  <si>
    <t>Prof. Dr. Coşkun ÖZKAN</t>
  </si>
  <si>
    <t>Doç. Dr. ELİF ÖRNEK ÖZDEN</t>
  </si>
  <si>
    <t>Prof. Dr. Mustafa ÇİĞDEM</t>
  </si>
  <si>
    <t>Doç. Dr. SAADET ARZU BERİLGEN</t>
  </si>
  <si>
    <t>Doç. Dr. Ersoy Öz</t>
  </si>
  <si>
    <t>Doç. Dr. MEHMET DORUK ÖZÜGÜL</t>
  </si>
  <si>
    <t>Prof. Dr. Esin ÇEVİK</t>
  </si>
  <si>
    <t>Prof. Dr. Guray ARSLAN</t>
  </si>
  <si>
    <t>Prof. Dr. Şerif HEKİMOĞLU</t>
  </si>
  <si>
    <t>Doç. Dr. Mustafa Ümit GÜMÜŞAY</t>
  </si>
  <si>
    <t>Prof. Dr. Bayram Ali Ersoy</t>
  </si>
  <si>
    <t>Doç. Dr. İbrahim DEMİR</t>
  </si>
  <si>
    <t>Prof. Dr. Sezgin BAKIRDERE</t>
  </si>
  <si>
    <t>Prof. Dr. Banu Diri</t>
  </si>
  <si>
    <t>Prof. Dr. Mehmet M.BERİLGEN</t>
  </si>
  <si>
    <t>Prof. Dr. DÜRRİYE BİLGE</t>
  </si>
  <si>
    <t>Doç. Dr. M. Ebru ERDÖNMEZ DİNÇER</t>
  </si>
  <si>
    <t>Prof. Dr. Bülent Bayram</t>
  </si>
  <si>
    <t>Prof. Dr. Ömür BARKUL</t>
  </si>
  <si>
    <t>Prof. Dr. Advisor: Assoc. Prof. Dr. Gokhan BILGIN</t>
  </si>
  <si>
    <t>Prof. Dr. Sezgin Bakırdere</t>
  </si>
  <si>
    <t>Prof. Dr. Hacı Bodur</t>
  </si>
  <si>
    <t>Prof. Dr. Derya Burcu ÖZKAN</t>
  </si>
  <si>
    <t>Prof. Dr. M. Cengiz CAN</t>
  </si>
  <si>
    <t>Doç. Dr. Mehmet ALKAN</t>
  </si>
  <si>
    <t>Prof. Dr. SEMİHA ERİŞEN</t>
  </si>
  <si>
    <t>Doç. Dr. HAKAN AKÇAY</t>
  </si>
  <si>
    <t>Doç. Dr. Deniz ULUSARSLAN</t>
  </si>
  <si>
    <t>Prof. Dr. RENGİN ÜNVER</t>
  </si>
  <si>
    <t>Prof. Dr. Atınç PIRTI</t>
  </si>
  <si>
    <t>Prof. Dr. MUSTAFA BAYRAM</t>
  </si>
  <si>
    <t>Doç. Dr. Erhan AKDOĞAN</t>
  </si>
  <si>
    <t>Adı-Soyadı</t>
  </si>
  <si>
    <t>Halil ÖZER</t>
  </si>
  <si>
    <t>Ali PINARBAŞI</t>
  </si>
  <si>
    <t xml:space="preserve">Coşkun  ÖZKAN </t>
  </si>
  <si>
    <t>Erhan AKDOĞAN</t>
  </si>
  <si>
    <t>Orhan ÇAKIR</t>
  </si>
  <si>
    <t>Cüneyt  YILMAZ</t>
  </si>
  <si>
    <t>Aydın YEŞİLDİREK</t>
  </si>
  <si>
    <t>Cenk ULU</t>
  </si>
  <si>
    <t>Seyhan ÖZEN</t>
  </si>
  <si>
    <t>Burak ALTINOK</t>
  </si>
  <si>
    <t>Ali Anıl DEMİRÇALI</t>
  </si>
  <si>
    <t>Şaban PUSAT</t>
  </si>
  <si>
    <t>Alper UYSAL</t>
  </si>
  <si>
    <t>Ahmet KIRLI</t>
  </si>
  <si>
    <t>Mine USLU UYSAL</t>
  </si>
  <si>
    <t>Mehmet Selçuk ARSLAN</t>
  </si>
  <si>
    <t>Alpay ORAL</t>
  </si>
  <si>
    <t>Birgül AŞÇIOĞLU TEMİZTAŞ</t>
  </si>
  <si>
    <t>Zafer GEMİCİ</t>
  </si>
  <si>
    <t>Ana Bilim Dalı</t>
  </si>
  <si>
    <t>Programı</t>
  </si>
  <si>
    <t>Tez Başlığı
(Online Sistem)</t>
  </si>
  <si>
    <t>Abdullah Burak POLAT</t>
  </si>
  <si>
    <t>Prof.Dr.</t>
  </si>
  <si>
    <t>Abdurrahman Kamuran KADIPAŞAOĞLU</t>
  </si>
  <si>
    <t>Doç.Dr.</t>
  </si>
  <si>
    <t xml:space="preserve">Abdürrezzak Emin BOZDOĞAN       </t>
  </si>
  <si>
    <t>FEN-EDEBİYAT FAKÜLTESİ</t>
  </si>
  <si>
    <t xml:space="preserve">Adem   BAKKALOĞLU     </t>
  </si>
  <si>
    <t>KİMYA-METALURJİ FAKÜLTESİ</t>
  </si>
  <si>
    <t>MET.VE MALZEME MÜH.BÖL.</t>
  </si>
  <si>
    <t>Adem Cengiz ÇEVİKEL</t>
  </si>
  <si>
    <t>EĞİTİM FAKÜLTESİ</t>
  </si>
  <si>
    <t xml:space="preserve">Afife Binnaz   HAZAR          </t>
  </si>
  <si>
    <t xml:space="preserve">Ahmet     KOYUN          </t>
  </si>
  <si>
    <t xml:space="preserve">Ahmet    ÖZDEŞ          </t>
  </si>
  <si>
    <t>Öğr.Gör. Dr.</t>
  </si>
  <si>
    <t xml:space="preserve">Ahmet    SAĞIN          </t>
  </si>
  <si>
    <t>Dr.Öğr.Üyesi</t>
  </si>
  <si>
    <t xml:space="preserve">Ahmet   ÇELİK          </t>
  </si>
  <si>
    <t xml:space="preserve">Ahmet   DEMİR          </t>
  </si>
  <si>
    <t>İNŞAAT FAKÜLTESİ</t>
  </si>
  <si>
    <t xml:space="preserve">Ahmet   KIZILAY        </t>
  </si>
  <si>
    <t xml:space="preserve">Ahmet   SAĞIRLI        </t>
  </si>
  <si>
    <t xml:space="preserve">Ahmet  ÜNAL           </t>
  </si>
  <si>
    <t>Ahmet ALTINDAL</t>
  </si>
  <si>
    <t xml:space="preserve">Ahmet Beşer  KIZILKANAT     </t>
  </si>
  <si>
    <t>Ahmet DOĞAN</t>
  </si>
  <si>
    <t xml:space="preserve">Ahmet Dursun   ALKAN          </t>
  </si>
  <si>
    <t xml:space="preserve">Ahmet Faruk    BAKAN          </t>
  </si>
  <si>
    <t xml:space="preserve">Ahmet Göksel   AĞARGÜN        </t>
  </si>
  <si>
    <t>Ahmet Gültekin AVCI</t>
  </si>
  <si>
    <t>Öğr.Gör.</t>
  </si>
  <si>
    <t xml:space="preserve">Ahmet KARAASLAN      </t>
  </si>
  <si>
    <t xml:space="preserve">Ahmet Selim  DALKILIÇ       </t>
  </si>
  <si>
    <t>Ahmet SERBES</t>
  </si>
  <si>
    <t>Ahmet SerdarTÜRK</t>
  </si>
  <si>
    <t>Ahmet YILMAZ</t>
  </si>
  <si>
    <t xml:space="preserve">Akın     DELİBAŞI       </t>
  </si>
  <si>
    <t xml:space="preserve">Alev   ERKMEN ÖZHEKİM </t>
  </si>
  <si>
    <t>MİMARLIK FAKÜLTESİ</t>
  </si>
  <si>
    <t xml:space="preserve">Alev  TAŞKIN GÜMÜŞ      </t>
  </si>
  <si>
    <t xml:space="preserve">Ali    COŞAR          </t>
  </si>
  <si>
    <t xml:space="preserve">Ali    KOÇAK          </t>
  </si>
  <si>
    <t xml:space="preserve">Ali   ERDOĞMUŞ       </t>
  </si>
  <si>
    <t xml:space="preserve">Ali   KILIÇ        </t>
  </si>
  <si>
    <t>SEHİR BÖLGE PLAN.BÖL</t>
  </si>
  <si>
    <t>Ali DOĞRUL</t>
  </si>
  <si>
    <t>Ali Erçin ERSUNDU</t>
  </si>
  <si>
    <t>Ali ERYILMAZ</t>
  </si>
  <si>
    <t>EĞİTİM BİLİMLERİ</t>
  </si>
  <si>
    <t xml:space="preserve">Ali Fuat  GÜNERİ         </t>
  </si>
  <si>
    <t xml:space="preserve">Ali Gökhan     YAVUZ          </t>
  </si>
  <si>
    <t>Ali GÖRÇİN</t>
  </si>
  <si>
    <t xml:space="preserve">Ali Hakan  BÜYÜKLÜ        </t>
  </si>
  <si>
    <t xml:space="preserve">Ali Melih  BAŞARANER      </t>
  </si>
  <si>
    <t xml:space="preserve">Ali Osman  KURUŞCU        </t>
  </si>
  <si>
    <t>Ali Rıfat BOYNUEĞRİ</t>
  </si>
  <si>
    <t>Ali Rıfat ÜNAL</t>
  </si>
  <si>
    <t xml:space="preserve">Ali Volkan  AKKAYA         </t>
  </si>
  <si>
    <t xml:space="preserve">Almula  KÖKSAL IŞIKKAYA         </t>
  </si>
  <si>
    <t xml:space="preserve">Alp Tekin    ERGENÇ         </t>
  </si>
  <si>
    <t>Alper ŞEN</t>
  </si>
  <si>
    <t>Alper YILMAZ</t>
  </si>
  <si>
    <t>BİYOMÜHENDİSLİK BÖL.</t>
  </si>
  <si>
    <t>Alperen ACAR</t>
  </si>
  <si>
    <t xml:space="preserve">Altuğ   BOZKURT        </t>
  </si>
  <si>
    <t xml:space="preserve">Anıl    AKDOĞAN        </t>
  </si>
  <si>
    <t xml:space="preserve">Anime Melis  UZAR  DİNLEMEK         </t>
  </si>
  <si>
    <t>Araks EKMEKÇİOĞLU</t>
  </si>
  <si>
    <t xml:space="preserve">Arslan  SARAL          </t>
  </si>
  <si>
    <t xml:space="preserve">Arzu     ÇİLLİ          </t>
  </si>
  <si>
    <t xml:space="preserve">Arzu    TURAN DİNCEL      </t>
  </si>
  <si>
    <t xml:space="preserve">Arzu   HATİPOĞLU      </t>
  </si>
  <si>
    <t>Arzu   SOYCAN</t>
  </si>
  <si>
    <t>Asım Sinan KARAKURT</t>
  </si>
  <si>
    <t xml:space="preserve">Aslan  İNAN           </t>
  </si>
  <si>
    <t>Aslı GÖRGÜLÜ  ARI</t>
  </si>
  <si>
    <t>Aslı Pelin GÜRGÜN</t>
  </si>
  <si>
    <t xml:space="preserve">Aslı SUNGUR    </t>
  </si>
  <si>
    <t>AsumanTÜRKÜN</t>
  </si>
  <si>
    <t xml:space="preserve">Atıf Ahmet     EVREN          </t>
  </si>
  <si>
    <t xml:space="preserve">Atınç    PIRTI          </t>
  </si>
  <si>
    <t xml:space="preserve">Atiye Hülya    OBDAN          </t>
  </si>
  <si>
    <t xml:space="preserve">Ayça Meriç  HASANOĞLU      </t>
  </si>
  <si>
    <t xml:space="preserve">Aydın   BALYER         </t>
  </si>
  <si>
    <t>Aydın SEÇER</t>
  </si>
  <si>
    <t xml:space="preserve">Ayfer    TEKİN  ATACAN       </t>
  </si>
  <si>
    <t xml:space="preserve">Ayfer   SARAÇ          </t>
  </si>
  <si>
    <t xml:space="preserve">Ayfer  YAZGAN          </t>
  </si>
  <si>
    <t xml:space="preserve">Ayhan     BÖYÜR          </t>
  </si>
  <si>
    <t>Ayhan BİNGÖLBALİ</t>
  </si>
  <si>
    <t xml:space="preserve">Aykut   SAFA           </t>
  </si>
  <si>
    <t xml:space="preserve">Ayla   ŞAYLI          </t>
  </si>
  <si>
    <t xml:space="preserve">Aynur  ÇİFCİ          </t>
  </si>
  <si>
    <t xml:space="preserve">Aysel    KANTÜRK FİGEN       </t>
  </si>
  <si>
    <t>Aysun GÜROL</t>
  </si>
  <si>
    <t xml:space="preserve">Ayşe    ERDÖLEN        </t>
  </si>
  <si>
    <t xml:space="preserve">Ayşe   DURUSOY        </t>
  </si>
  <si>
    <t>Ayşe KARADAĞ</t>
  </si>
  <si>
    <t xml:space="preserve">Ayşegül   PEKSEL         </t>
  </si>
  <si>
    <t xml:space="preserve">Ayşegül  AKDOĞAN EKER       </t>
  </si>
  <si>
    <t>Ayşegül ERDEMİR ÜSTÜNDAĞ</t>
  </si>
  <si>
    <t xml:space="preserve">Ayşen  CİRAVOĞLU  DEMİRDİZEN    </t>
  </si>
  <si>
    <t xml:space="preserve">Ayten   ÖZKAN          </t>
  </si>
  <si>
    <t xml:space="preserve">Ayten  ERDEM          </t>
  </si>
  <si>
    <t xml:space="preserve">Azade   ATTAR          </t>
  </si>
  <si>
    <t>Azime YILMAZ</t>
  </si>
  <si>
    <t>Azmi Seyhun KIPÇAK</t>
  </si>
  <si>
    <t xml:space="preserve">Bahadır   GÜLSÜN         </t>
  </si>
  <si>
    <t xml:space="preserve">Bahadır   KESKİN         </t>
  </si>
  <si>
    <t>Bahar UYAR DÜLDÜL</t>
  </si>
  <si>
    <t xml:space="preserve">Bahattin   ERDOĞAN        </t>
  </si>
  <si>
    <t xml:space="preserve">Bahri   ŞAHİN          </t>
  </si>
  <si>
    <t xml:space="preserve">Baki   AKSAKAL        </t>
  </si>
  <si>
    <t xml:space="preserve">Banu     ÇELEBİOĞLU     </t>
  </si>
  <si>
    <t xml:space="preserve">Banu   DİRİ           </t>
  </si>
  <si>
    <t xml:space="preserve">Banu   MANSUROĞLU        </t>
  </si>
  <si>
    <t xml:space="preserve">Banu   SÜNGÜ MISIRLIOĞLU       </t>
  </si>
  <si>
    <t>Banu YÜCEL TOY</t>
  </si>
  <si>
    <t xml:space="preserve">Barbaros  BATUR          </t>
  </si>
  <si>
    <t>Barbaros NALBANTOĞLU</t>
  </si>
  <si>
    <t>Barış SEVİM</t>
  </si>
  <si>
    <t xml:space="preserve">Bayram Ali     ERSOY          </t>
  </si>
  <si>
    <t>Bayram Ali İBRAHİMOĞLU</t>
  </si>
  <si>
    <t>Bayram COŞTU</t>
  </si>
  <si>
    <t xml:space="preserve">Bedri    KEKEZOĞLU      </t>
  </si>
  <si>
    <t xml:space="preserve">Bedri Onur  KÜÇÜKYILDIRIM  </t>
  </si>
  <si>
    <t xml:space="preserve">Bekir  ŞENER          </t>
  </si>
  <si>
    <t xml:space="preserve">Belkız    BİLGİN ERAN    </t>
  </si>
  <si>
    <t xml:space="preserve">Belma  ÖZBEK      </t>
  </si>
  <si>
    <t xml:space="preserve">Berna   BOLAT          </t>
  </si>
  <si>
    <t>Berna  AYAT AYDOĞAN</t>
  </si>
  <si>
    <t xml:space="preserve">Berna  DİKÇINAR SEL   </t>
  </si>
  <si>
    <t xml:space="preserve">Berrin   ALPER          </t>
  </si>
  <si>
    <t xml:space="preserve">Bestami ÖZKAYA         </t>
  </si>
  <si>
    <t xml:space="preserve">Bilge  DORAN          </t>
  </si>
  <si>
    <t xml:space="preserve">Billur   KANER          </t>
  </si>
  <si>
    <t>Binnur   SAĞBAŞ</t>
  </si>
  <si>
    <t xml:space="preserve">Birol  ASLANYÜREK     </t>
  </si>
  <si>
    <t xml:space="preserve">Birsel   CAN ÖMÜR       </t>
  </si>
  <si>
    <t xml:space="preserve">Bora    ACARKAN        </t>
  </si>
  <si>
    <t xml:space="preserve">Bora   YERLİYURT      </t>
  </si>
  <si>
    <t>Buğra ÇİÇEK</t>
  </si>
  <si>
    <t xml:space="preserve">Buket Ayşegül  ÖZBAKIR        </t>
  </si>
  <si>
    <t xml:space="preserve">Burak    AKIN           </t>
  </si>
  <si>
    <t xml:space="preserve">Burak   AKPINAR        </t>
  </si>
  <si>
    <t>Burak BİROL</t>
  </si>
  <si>
    <t>Burak YILDIZ</t>
  </si>
  <si>
    <t>Burcu   ERKMEN</t>
  </si>
  <si>
    <t xml:space="preserve">Burcu Didem    ÇORBACIOĞLU    </t>
  </si>
  <si>
    <t>Burcu KIRMIZI</t>
  </si>
  <si>
    <t>KÜLTÜR VARLIKLARINI KORUMA VE ONARIM</t>
  </si>
  <si>
    <t xml:space="preserve">Burhanettin  ÇETİN          </t>
  </si>
  <si>
    <t xml:space="preserve">Bülent   ALCI           </t>
  </si>
  <si>
    <t xml:space="preserve">Bülent   BOLAT          </t>
  </si>
  <si>
    <t xml:space="preserve">Bülent  BAYRAM         </t>
  </si>
  <si>
    <t>Bülent GÜZEL</t>
  </si>
  <si>
    <t xml:space="preserve">Bülent İlhan  GONCALOĞLU     </t>
  </si>
  <si>
    <t>Bünyamin AKSAKAL</t>
  </si>
  <si>
    <t>Bünyamin BAVLI</t>
  </si>
  <si>
    <t xml:space="preserve">Bürge   AŞÇI           </t>
  </si>
  <si>
    <t xml:space="preserve">Can Şakir  BİNAN          </t>
  </si>
  <si>
    <t>Canan ÇELİK KARAASLANLI</t>
  </si>
  <si>
    <t xml:space="preserve">Candan  ÇITAK    </t>
  </si>
  <si>
    <t xml:space="preserve">Cem    AKÇA           </t>
  </si>
  <si>
    <t xml:space="preserve">Cemal Cenk  HAMAMCIOĞLU    </t>
  </si>
  <si>
    <t xml:space="preserve">Cemalettin   YAMAN          </t>
  </si>
  <si>
    <t xml:space="preserve">Cenk   ONAN           </t>
  </si>
  <si>
    <t>Cenk BUDAYAN</t>
  </si>
  <si>
    <t>Cevdet ŞANLI</t>
  </si>
  <si>
    <t xml:space="preserve">Ceyda    ŞEN            </t>
  </si>
  <si>
    <t>Ceylan İrem GENÇER</t>
  </si>
  <si>
    <t xml:space="preserve">Cihan    ŞAHİN          </t>
  </si>
  <si>
    <t xml:space="preserve">Cihan   DEMİR          </t>
  </si>
  <si>
    <t>Claudia Fernanda YAŞAR</t>
  </si>
  <si>
    <t xml:space="preserve">Coşkun    GÜLER          </t>
  </si>
  <si>
    <t xml:space="preserve">Cumhur   Oktay   AZELOĞLU       </t>
  </si>
  <si>
    <t xml:space="preserve">Cüneyt  AYDIN          </t>
  </si>
  <si>
    <t>Çağrı MOLLAMAHMUTOĞLU</t>
  </si>
  <si>
    <t xml:space="preserve">Çetin   TAŞSEVEN       </t>
  </si>
  <si>
    <t xml:space="preserve">Çiğdem   POLATOĞLU      </t>
  </si>
  <si>
    <t xml:space="preserve">Çiğdem   YOLAÇAN        </t>
  </si>
  <si>
    <t>Çiğdem  CANBAY TÜRKYILMAZ</t>
  </si>
  <si>
    <t>Çiğdem BİLEN</t>
  </si>
  <si>
    <t>Çiğdem NUHOĞLU</t>
  </si>
  <si>
    <t xml:space="preserve">Çiğdem ORUÇ </t>
  </si>
  <si>
    <t xml:space="preserve">Davut  HOTAMAN        </t>
  </si>
  <si>
    <t xml:space="preserve">Demet   KARACA BALTA   </t>
  </si>
  <si>
    <t xml:space="preserve">Deniz   ULUSARSLAN     </t>
  </si>
  <si>
    <t>Deniz ÖZ DEMİR</t>
  </si>
  <si>
    <t xml:space="preserve">Derya Burcu  ÖZKAN    </t>
  </si>
  <si>
    <t>Derya GÜLEÇ ÖZER</t>
  </si>
  <si>
    <t xml:space="preserve">Devrim   YAZICI         </t>
  </si>
  <si>
    <t>Didem ÖZÇİMEN</t>
  </si>
  <si>
    <t xml:space="preserve">Dilek   EKŞİ AKBULUT   </t>
  </si>
  <si>
    <t xml:space="preserve">Dilek   KILIÇ APAR     </t>
  </si>
  <si>
    <t>Dilek  DURANOĞLU DİNÇER</t>
  </si>
  <si>
    <t>Dilek BALIK</t>
  </si>
  <si>
    <t xml:space="preserve">Doğan    ÖZGEN          </t>
  </si>
  <si>
    <t xml:space="preserve">Doğan   KARADAĞ        </t>
  </si>
  <si>
    <t xml:space="preserve">Doğan   YILDIZ         </t>
  </si>
  <si>
    <t>Doğan SAĞLAM</t>
  </si>
  <si>
    <t xml:space="preserve">Doğan Uğur ŞANLI          </t>
  </si>
  <si>
    <t xml:space="preserve">Dolunay   ŞAKAR  DAŞDAN        </t>
  </si>
  <si>
    <t>Drahşan UĞURYOL</t>
  </si>
  <si>
    <t xml:space="preserve">Ebru    AKKAYA         </t>
  </si>
  <si>
    <t xml:space="preserve">Ebru   SEÇKİN         </t>
  </si>
  <si>
    <t>Eda TURAN</t>
  </si>
  <si>
    <t xml:space="preserve">Elçin  YILMAZ  </t>
  </si>
  <si>
    <t xml:space="preserve">Elif     TUNA     </t>
  </si>
  <si>
    <t>Elif    DEMİR</t>
  </si>
  <si>
    <t xml:space="preserve">Elif    ÖRNEK ÖZDEN    </t>
  </si>
  <si>
    <t xml:space="preserve">Elif    TARIM          </t>
  </si>
  <si>
    <t>Elif BAHADIR</t>
  </si>
  <si>
    <t>Elif ÖZTÜRK ER</t>
  </si>
  <si>
    <t xml:space="preserve">Elvan Ebru     OMAY POLAT     </t>
  </si>
  <si>
    <t xml:space="preserve">Emek    DERUN </t>
  </si>
  <si>
    <t>Emel   ORDU</t>
  </si>
  <si>
    <t xml:space="preserve">Emel  AKYOL          </t>
  </si>
  <si>
    <t>Emine CAN GÜVEN</t>
  </si>
  <si>
    <t>Emine Gülhan BAKIRDERE</t>
  </si>
  <si>
    <t>Emine KARAKUŞ</t>
  </si>
  <si>
    <t>Emrah Şefik ABAMOR</t>
  </si>
  <si>
    <t>Emre ER</t>
  </si>
  <si>
    <t>Emre KOLOTOĞLU</t>
  </si>
  <si>
    <t xml:space="preserve">Emrullah Hakan   KALELİ         </t>
  </si>
  <si>
    <t xml:space="preserve">Engin   AYÇİÇEK        </t>
  </si>
  <si>
    <t xml:space="preserve">Ercan   İZGİ           </t>
  </si>
  <si>
    <t xml:space="preserve">Ercan   KOÇ            </t>
  </si>
  <si>
    <t xml:space="preserve">Ercenk    ATA            </t>
  </si>
  <si>
    <t xml:space="preserve">Erdal    GÜL            </t>
  </si>
  <si>
    <t xml:space="preserve">Erdin   GÖKALP         </t>
  </si>
  <si>
    <t xml:space="preserve">Erdoğan Mehmet ÖZKAN          </t>
  </si>
  <si>
    <t xml:space="preserve">Ergün   KELEŞOĞLU      </t>
  </si>
  <si>
    <t xml:space="preserve">Erhan ALTAN          </t>
  </si>
  <si>
    <t>Erhan ÇENE</t>
  </si>
  <si>
    <t xml:space="preserve">Erkan   AVLAR          </t>
  </si>
  <si>
    <t xml:space="preserve">Erkan   TABANCALI      </t>
  </si>
  <si>
    <t>Erkan USLU</t>
  </si>
  <si>
    <t>Erol KAM</t>
  </si>
  <si>
    <t xml:space="preserve">Ersoy  ÖZ             </t>
  </si>
  <si>
    <t xml:space="preserve">Ertan   ARSLANKAYA     </t>
  </si>
  <si>
    <t>Esin   ÇEVİK</t>
  </si>
  <si>
    <t xml:space="preserve">Esin Özlem  AKTUĞLU AKTAN  </t>
  </si>
  <si>
    <t xml:space="preserve">Esra    YÜCA           </t>
  </si>
  <si>
    <t>Eyup BAĞCI</t>
  </si>
  <si>
    <t xml:space="preserve">Eyüp  DEBİK          </t>
  </si>
  <si>
    <t>Eyüp KIZIL</t>
  </si>
  <si>
    <t>Ezgi KORKMAZ</t>
  </si>
  <si>
    <t xml:space="preserve">Fahri   ÇELİK          </t>
  </si>
  <si>
    <t xml:space="preserve">Fahri Okan   PEKİNER        </t>
  </si>
  <si>
    <t xml:space="preserve">Fatih   GÜLGEN         </t>
  </si>
  <si>
    <t xml:space="preserve">Fatih   TAŞÇİ          </t>
  </si>
  <si>
    <t>Fatih AKYOL</t>
  </si>
  <si>
    <t>Fatih Cüneyd KORKMAZ</t>
  </si>
  <si>
    <t>Fatih ÇAKAR</t>
  </si>
  <si>
    <t>Fatih DEMİRKALE</t>
  </si>
  <si>
    <t>Fatih TÖRNÜK</t>
  </si>
  <si>
    <t xml:space="preserve">Fatma    AYTAN KILIÇARSLAN    </t>
  </si>
  <si>
    <t xml:space="preserve">Fatma    TURAK          </t>
  </si>
  <si>
    <t xml:space="preserve">Fatma   AYDIN AKGÜN    </t>
  </si>
  <si>
    <t xml:space="preserve">Fatma   NOYAN  TEKELİ       </t>
  </si>
  <si>
    <t xml:space="preserve">Fatma  TİRYAKİ        </t>
  </si>
  <si>
    <t xml:space="preserve">Fatma İlter TÜRKDOĞAN     </t>
  </si>
  <si>
    <t xml:space="preserve">Fatma İnci  ALBAYRAK       </t>
  </si>
  <si>
    <t xml:space="preserve">Fatma Jale  GÜLEN          </t>
  </si>
  <si>
    <t>Fatma Pınar ÇAĞLAR EYOL</t>
  </si>
  <si>
    <t xml:space="preserve">Fatma Rengin   ÜNVER          </t>
  </si>
  <si>
    <t>Fedai İNANIR</t>
  </si>
  <si>
    <t xml:space="preserve">Feray  AYDOĞAN        </t>
  </si>
  <si>
    <t xml:space="preserve">Ferdane  KARAMAN        </t>
  </si>
  <si>
    <t>Ferdi ÇAKICI</t>
  </si>
  <si>
    <t xml:space="preserve">Ferhat  DİKMEN         </t>
  </si>
  <si>
    <t xml:space="preserve">Feride Pınar   ARABACIOĞLU    </t>
  </si>
  <si>
    <t>Ferkan YILMAZ</t>
  </si>
  <si>
    <t>Fevziye Ayça SARAÇOĞLU</t>
  </si>
  <si>
    <t>Figen KAYA</t>
  </si>
  <si>
    <t xml:space="preserve">Fikret  TOKAN          </t>
  </si>
  <si>
    <t xml:space="preserve">Fikriye  TÜNCEL ELMALI  </t>
  </si>
  <si>
    <t xml:space="preserve">Filiz   KANBAY         </t>
  </si>
  <si>
    <t>Filiz KARAMAN</t>
  </si>
  <si>
    <t xml:space="preserve">Fuat  ALARÇİN        </t>
  </si>
  <si>
    <t xml:space="preserve">Fulya  YÜKSEL ŞAHİN   </t>
  </si>
  <si>
    <t>Fügen  TORUNBALCI AYDIN</t>
  </si>
  <si>
    <t xml:space="preserve">Füsun   BALIK ŞANLI    </t>
  </si>
  <si>
    <t xml:space="preserve">Füsun   ÇİZMECİ YÖREŞ        </t>
  </si>
  <si>
    <t xml:space="preserve">Galip    TEMİR          </t>
  </si>
  <si>
    <t xml:space="preserve">Gamze   VARANK         </t>
  </si>
  <si>
    <t xml:space="preserve">Gökçe  TUNA TAYGUN    </t>
  </si>
  <si>
    <t xml:space="preserve">Gökhan    BİLGİN         </t>
  </si>
  <si>
    <t>Göknur YAŞA ATMACA</t>
  </si>
  <si>
    <t xml:space="preserve">Göksel    BİRİCİK        </t>
  </si>
  <si>
    <t>Görke GÜREL PEKÖZER</t>
  </si>
  <si>
    <t>Görkem KÖKKÜLÜNK</t>
  </si>
  <si>
    <t>Görkem ÖZÜLKÜ</t>
  </si>
  <si>
    <t>Görkem SERBES</t>
  </si>
  <si>
    <t>Gözdem   AYSU</t>
  </si>
  <si>
    <t xml:space="preserve">Gülay   ZORER GEDİK          </t>
  </si>
  <si>
    <t>Gülçin TEKİN ÖZKAN</t>
  </si>
  <si>
    <t xml:space="preserve">Gülder    KEMALBAY       </t>
  </si>
  <si>
    <t>Güleda ENGİN</t>
  </si>
  <si>
    <t xml:space="preserve">Gülhayat  GÖLBAŞI ŞİMŞEK </t>
  </si>
  <si>
    <t xml:space="preserve">Gülnur    KESER  KARAOĞLAN        </t>
  </si>
  <si>
    <t xml:space="preserve">Gülşah    GÜMRÜKÇÜ KÖSE       </t>
  </si>
  <si>
    <t xml:space="preserve">Gülten    ÇETİN          </t>
  </si>
  <si>
    <t>Gülüstan DOĞAN</t>
  </si>
  <si>
    <t xml:space="preserve">Güray   ARSLAN         </t>
  </si>
  <si>
    <t xml:space="preserve">Gürdal   KANAT          </t>
  </si>
  <si>
    <t>Gürsel YEŞİLOT</t>
  </si>
  <si>
    <t xml:space="preserve">Güven   ŞENER          </t>
  </si>
  <si>
    <t>Güven GONCA</t>
  </si>
  <si>
    <t xml:space="preserve">Güzin    ALPDOĞAN       </t>
  </si>
  <si>
    <t xml:space="preserve">Güzin   AKYILDIZ  ALÇURA    </t>
  </si>
  <si>
    <t xml:space="preserve">Hacı    BODUR          </t>
  </si>
  <si>
    <t>Hacı İLHAN</t>
  </si>
  <si>
    <t xml:space="preserve">Hafiza İrem TÜRKMEN ÇİLİNGİR     </t>
  </si>
  <si>
    <t xml:space="preserve">Hakan   DEMİR          </t>
  </si>
  <si>
    <t xml:space="preserve">Hakan   YAZICI         </t>
  </si>
  <si>
    <t>Hakan AKÇAY</t>
  </si>
  <si>
    <t>Hakan Paşa PARTAL</t>
  </si>
  <si>
    <t>Hakan YILMAZER</t>
  </si>
  <si>
    <t xml:space="preserve">Hale    BERBER  </t>
  </si>
  <si>
    <t xml:space="preserve">Hale   KÖÇKEN      </t>
  </si>
  <si>
    <t xml:space="preserve">Hale   OCAK           </t>
  </si>
  <si>
    <t xml:space="preserve">Halit  ÖZEN           </t>
  </si>
  <si>
    <t xml:space="preserve">Halit Eren     FİGEN          </t>
  </si>
  <si>
    <t xml:space="preserve">Hamid    TORPİ          </t>
  </si>
  <si>
    <t>Hamid Alper ORAL</t>
  </si>
  <si>
    <t>UYGULAMALI BİLİMLER FAKÜLTESİ</t>
  </si>
  <si>
    <t>HAVACILIK ELEKTRONİĞİ</t>
  </si>
  <si>
    <t>Hande ALADAĞ</t>
  </si>
  <si>
    <t>Hande DÜZGÜN BEKDAŞ</t>
  </si>
  <si>
    <t xml:space="preserve">Hasan   ÜNAL           </t>
  </si>
  <si>
    <t xml:space="preserve">Hasan Hüseyin  ERDEM          </t>
  </si>
  <si>
    <t>Hasan Hüseyin BALIK</t>
  </si>
  <si>
    <t>Hasan Kayhan KAYADELEN</t>
  </si>
  <si>
    <t>Hasan SADIKOĞLU</t>
  </si>
  <si>
    <t xml:space="preserve">Hasan TATLIPINAR     </t>
  </si>
  <si>
    <t>Hasan Volkan ERSOY</t>
  </si>
  <si>
    <t xml:space="preserve">Hasibe Aygül   YEPREM         </t>
  </si>
  <si>
    <t>Hatice MERCAN</t>
  </si>
  <si>
    <t>Havva Anıl  GÜNER</t>
  </si>
  <si>
    <t>Havva Melda AKBİN</t>
  </si>
  <si>
    <t xml:space="preserve">Havvanur    KILIÇ          </t>
  </si>
  <si>
    <t>Haydar  LİVATYALI</t>
  </si>
  <si>
    <t>Haydar BAYAR</t>
  </si>
  <si>
    <t xml:space="preserve">Hayri    BARAÇLI        </t>
  </si>
  <si>
    <t xml:space="preserve">Hayrullah  AĞAÇCIOĞLU     </t>
  </si>
  <si>
    <t xml:space="preserve">Herman   SEDEF          </t>
  </si>
  <si>
    <t xml:space="preserve">Hikmet Selim   ÖKEM           </t>
  </si>
  <si>
    <t xml:space="preserve">Hülya  BURHANZADE        </t>
  </si>
  <si>
    <t xml:space="preserve">Hülya  DEMİR          </t>
  </si>
  <si>
    <t xml:space="preserve">Hülya  ŞAHİNTÜRK      </t>
  </si>
  <si>
    <t>Hülya KADIOĞLU</t>
  </si>
  <si>
    <t xml:space="preserve">Hüseyin   BAYIROĞLU      </t>
  </si>
  <si>
    <t xml:space="preserve">Hüseyin  YILMAZ         </t>
  </si>
  <si>
    <t xml:space="preserve">Hüseyin Birtan KAVANOZ        </t>
  </si>
  <si>
    <t xml:space="preserve">Hüseyin Murat  LUŞ            </t>
  </si>
  <si>
    <t>Hüseyin ÜVET</t>
  </si>
  <si>
    <t xml:space="preserve">Hüsnü   CANKURTARAN    </t>
  </si>
  <si>
    <t xml:space="preserve">Işıl    KERTİ          </t>
  </si>
  <si>
    <t xml:space="preserve">Işım    DEMİRİZ        </t>
  </si>
  <si>
    <t xml:space="preserve">İbrahim   DOYMAZ         </t>
  </si>
  <si>
    <t xml:space="preserve">İbrahim   EMİROĞLU       </t>
  </si>
  <si>
    <t xml:space="preserve">İbrahim   ERDEN          </t>
  </si>
  <si>
    <t xml:space="preserve">İbrahim   ŞENOL          </t>
  </si>
  <si>
    <t xml:space="preserve">İbrahim  DEMİR          </t>
  </si>
  <si>
    <t>İbrahim  DİNCER</t>
  </si>
  <si>
    <t xml:space="preserve">İbrahim  ŞAHİN          </t>
  </si>
  <si>
    <t xml:space="preserve">İbrahim Başak    DAĞGÜLÜ        </t>
  </si>
  <si>
    <t xml:space="preserve">İbrahim Halilullah ÇETİN          </t>
  </si>
  <si>
    <t>İbrahim IŞILDAK</t>
  </si>
  <si>
    <t>İbrahim KOCABAŞ</t>
  </si>
  <si>
    <t xml:space="preserve">İclal Sema     DİNÇER         </t>
  </si>
  <si>
    <t>İhsan  KAYA</t>
  </si>
  <si>
    <t xml:space="preserve">İkbal   KOYUNCU        </t>
  </si>
  <si>
    <t xml:space="preserve">İlknur    KÜÇÜK          </t>
  </si>
  <si>
    <t xml:space="preserve">İlknur  KESKİN ÖNER       </t>
  </si>
  <si>
    <t xml:space="preserve">İlyas   İSTİF          </t>
  </si>
  <si>
    <t xml:space="preserve">İnci   SALT           </t>
  </si>
  <si>
    <t xml:space="preserve">İrfan  COŞKUN         </t>
  </si>
  <si>
    <t xml:space="preserve">İsmail    NAKİR          </t>
  </si>
  <si>
    <t xml:space="preserve">İsmail   BAYER          </t>
  </si>
  <si>
    <t xml:space="preserve">İsmail  ŞAHİN          </t>
  </si>
  <si>
    <t>İsmail KOCAÇALIŞKAN</t>
  </si>
  <si>
    <t>Janset   DAŞDEMİR</t>
  </si>
  <si>
    <t xml:space="preserve">Kaan   YETİLMEZSOY    </t>
  </si>
  <si>
    <t>Kaan ÜNLÜGENÇOĞLU</t>
  </si>
  <si>
    <t xml:space="preserve">Kadir    TURHAN         </t>
  </si>
  <si>
    <t xml:space="preserve">Kadir   ERKAN          </t>
  </si>
  <si>
    <t xml:space="preserve">Kadiriye  ŞİMŞEK ALAN        </t>
  </si>
  <si>
    <t xml:space="preserve">Kamuran Nur    BEKİROĞLU      </t>
  </si>
  <si>
    <t>Kemal ÖZDOĞAN</t>
  </si>
  <si>
    <t xml:space="preserve">Kenan   KOÇ            </t>
  </si>
  <si>
    <t xml:space="preserve">Kerem Altuğ    GÜLER          </t>
  </si>
  <si>
    <t xml:space="preserve">Kevser   KÖKLÜ          </t>
  </si>
  <si>
    <t xml:space="preserve">Kunter   MANİSA         </t>
  </si>
  <si>
    <t xml:space="preserve">Kutsal  BOZKURT        </t>
  </si>
  <si>
    <t xml:space="preserve">Lale   ÖZYILMAZ       </t>
  </si>
  <si>
    <t xml:space="preserve">Levent   UCUN           </t>
  </si>
  <si>
    <t xml:space="preserve">Levent   YÜKSEK         </t>
  </si>
  <si>
    <t xml:space="preserve">Leyla  DOKUZER  ÖZTÜRK      </t>
  </si>
  <si>
    <t>Lokman TORUN</t>
  </si>
  <si>
    <t xml:space="preserve">Macide   CANTÜRK RODOP       </t>
  </si>
  <si>
    <t xml:space="preserve">Mahmure  ÖZGÜR          </t>
  </si>
  <si>
    <t>Mahmut Oğuz SELBESOĞLU</t>
  </si>
  <si>
    <t xml:space="preserve">Mehmet   AHLATCIOĞLU    </t>
  </si>
  <si>
    <t xml:space="preserve">Mehmet   BOZCA          </t>
  </si>
  <si>
    <t xml:space="preserve">Mehmet  ÖZTÜRK         </t>
  </si>
  <si>
    <t xml:space="preserve">Mehmet  YILMAZ         </t>
  </si>
  <si>
    <t>Mehmet AliAKINLAR</t>
  </si>
  <si>
    <t>Mehmet ALKAN</t>
  </si>
  <si>
    <t xml:space="preserve">Mehmet Amaç  GÜVENSAN       </t>
  </si>
  <si>
    <t xml:space="preserve">Mehmet Burçin  PİŞKİN         </t>
  </si>
  <si>
    <t>Mehmet ÇAKIR</t>
  </si>
  <si>
    <t>Mehmet ÇAKMAKCI</t>
  </si>
  <si>
    <t xml:space="preserve">Mehmet Doruk   ÖZÜGÜL         </t>
  </si>
  <si>
    <t>Mehmet Engin DENİZ</t>
  </si>
  <si>
    <t>Mehmet Faik YILMAZ</t>
  </si>
  <si>
    <t xml:space="preserve">Mehmet Fatih   AMASYALI       </t>
  </si>
  <si>
    <t xml:space="preserve">Mehmet Fatih ERKOÇ          </t>
  </si>
  <si>
    <t>Mehmet Fevzi UĞURYOL</t>
  </si>
  <si>
    <t>Mehmet Güray GÜLER</t>
  </si>
  <si>
    <t>Mehmet GÜROL</t>
  </si>
  <si>
    <t xml:space="preserve">Mehmet Hikmet  YÜKSELİCİ      </t>
  </si>
  <si>
    <t xml:space="preserve">Mehmet Muhit   BERİLGEN       </t>
  </si>
  <si>
    <t>Mehmet Murat ÖZMEN</t>
  </si>
  <si>
    <t>Mehmet Nur TUĞLUK</t>
  </si>
  <si>
    <t xml:space="preserve">Mehmet Nuri   İLGÜREL        </t>
  </si>
  <si>
    <t xml:space="preserve">Mehmet Salih   TACİ           </t>
  </si>
  <si>
    <t>Mehmet Serdar Ufuk TÜRELİ</t>
  </si>
  <si>
    <t>Mehmet SıddıkAKTAŞ</t>
  </si>
  <si>
    <t xml:space="preserve">Mehmet Sinan BİLGİLİ        </t>
  </si>
  <si>
    <t xml:space="preserve">Mehmet Şükrü  ÖZÇOBAN        </t>
  </si>
  <si>
    <t xml:space="preserve">Mehmet Zafer   AKDEMİR        </t>
  </si>
  <si>
    <t xml:space="preserve">Melda   ALTIKATOĞLU YAPAÖZ   </t>
  </si>
  <si>
    <t xml:space="preserve">Meliha Pınar   SAĞIROĞLU  </t>
  </si>
  <si>
    <t xml:space="preserve">Meral    AYDIN          </t>
  </si>
  <si>
    <t xml:space="preserve">Meral   BAYRAKTAR      </t>
  </si>
  <si>
    <t xml:space="preserve">Meral   ERDOĞAN        </t>
  </si>
  <si>
    <t xml:space="preserve">Merih   SERİN          </t>
  </si>
  <si>
    <t xml:space="preserve">Mert   BAL            </t>
  </si>
  <si>
    <t xml:space="preserve">Meryem Handan       ÇUBUK          </t>
  </si>
  <si>
    <t xml:space="preserve">Mesut     GÜNER          </t>
  </si>
  <si>
    <t xml:space="preserve">Mesut   AKGÜN          </t>
  </si>
  <si>
    <t xml:space="preserve">Metin   SOYCAN         </t>
  </si>
  <si>
    <t>Metin GENÇTEN</t>
  </si>
  <si>
    <t>Metin TÜLÜ</t>
  </si>
  <si>
    <t xml:space="preserve">Mevlüde  CANLICA        </t>
  </si>
  <si>
    <t xml:space="preserve">Mihriban Betül YILMAZ         </t>
  </si>
  <si>
    <t>Mine ÇELİKÖZ</t>
  </si>
  <si>
    <t xml:space="preserve">Mine Elif    KARSLIGİL YAVUZ </t>
  </si>
  <si>
    <t>Miray ÇELİKBİLEK ERSUNDU</t>
  </si>
  <si>
    <t xml:space="preserve">Mirigül  ALTAN          </t>
  </si>
  <si>
    <t>Mithat KORUMAZ</t>
  </si>
  <si>
    <t xml:space="preserve">Mualla ÖNER           </t>
  </si>
  <si>
    <t xml:space="preserve">Muammer  ÖZKAN          </t>
  </si>
  <si>
    <t>Muhammed Emin BAŞAK</t>
  </si>
  <si>
    <t>Muhammed Hamza MÜSLÜMANOĞLU</t>
  </si>
  <si>
    <t>Muhammed Zeki DURAK</t>
  </si>
  <si>
    <t xml:space="preserve">Muhammet   KURULAY        </t>
  </si>
  <si>
    <t>Muhammet ARICI</t>
  </si>
  <si>
    <t>Muhammet GARİP</t>
  </si>
  <si>
    <t>Muhammet Kasım ŞENER</t>
  </si>
  <si>
    <t xml:space="preserve">Muharrem       MERCİMEK       </t>
  </si>
  <si>
    <t xml:space="preserve">Muharrem Erdem BOĞOÇLU        </t>
  </si>
  <si>
    <t>MuhsinAYDIN</t>
  </si>
  <si>
    <t>Mumin Tolga EMİRLER</t>
  </si>
  <si>
    <t xml:space="preserve">Murat    ALTEKİN        </t>
  </si>
  <si>
    <t xml:space="preserve">Murat    KIYAK          </t>
  </si>
  <si>
    <t xml:space="preserve">Murat    TONAROĞLU      </t>
  </si>
  <si>
    <t xml:space="preserve">Murat   ÇALIŞKAN       </t>
  </si>
  <si>
    <t xml:space="preserve">Murat   TOPUZOĞULLARI  </t>
  </si>
  <si>
    <t xml:space="preserve">Murat  ALAN           </t>
  </si>
  <si>
    <t xml:space="preserve">Murat ErgenokonSELÇUK         </t>
  </si>
  <si>
    <t>Murat HÜDAVERDİ</t>
  </si>
  <si>
    <t>Murat ODUNCUOĞLU</t>
  </si>
  <si>
    <t>Murat SARI</t>
  </si>
  <si>
    <t xml:space="preserve">Murat Serdar   KIRÇIL         </t>
  </si>
  <si>
    <t>Musa TÜRKER</t>
  </si>
  <si>
    <t xml:space="preserve">Mustafa    BAYSAL         </t>
  </si>
  <si>
    <t xml:space="preserve">Mustafa   GÜRSOY         </t>
  </si>
  <si>
    <t xml:space="preserve">Mustafa  ÇİĞDEM         </t>
  </si>
  <si>
    <t>Mustafa ARSLAN</t>
  </si>
  <si>
    <t>Mustafa BAŞARAN</t>
  </si>
  <si>
    <t>Mustafa DOĞAN</t>
  </si>
  <si>
    <t>Mustafa DÜLDÜL</t>
  </si>
  <si>
    <t>Mustafa GÜNDÜZ</t>
  </si>
  <si>
    <t xml:space="preserve">Mustafa Gürkan AYDENİZ        </t>
  </si>
  <si>
    <t xml:space="preserve">Mustafa Hadi   SARUL          </t>
  </si>
  <si>
    <t>Mustafa OKUTAN</t>
  </si>
  <si>
    <t>Mustafa Sami TOPÇU</t>
  </si>
  <si>
    <t xml:space="preserve">Mustafa Sinan  YARDIM         </t>
  </si>
  <si>
    <t xml:space="preserve">Mustafa SİVRİ          </t>
  </si>
  <si>
    <t>Mustafa Tahsin YILMAZ</t>
  </si>
  <si>
    <t xml:space="preserve">Mustafa Utku   KALAY          </t>
  </si>
  <si>
    <t xml:space="preserve">Mustafa Ümit   GÜMÜŞAY        </t>
  </si>
  <si>
    <t>Mustafa VAR</t>
  </si>
  <si>
    <t>Mustafa YEŞİLYURT</t>
  </si>
  <si>
    <t xml:space="preserve">Mutlu   AKAR           </t>
  </si>
  <si>
    <t>Mutlu ŞAHİN</t>
  </si>
  <si>
    <t xml:space="preserve">Muttalip  ÖZAVŞAR    </t>
  </si>
  <si>
    <t xml:space="preserve">Muttalip  TOPTAŞ      </t>
  </si>
  <si>
    <t xml:space="preserve">Muzaffer    BÖREKÇİ        </t>
  </si>
  <si>
    <t xml:space="preserve">Muzaffer   METİN          </t>
  </si>
  <si>
    <t xml:space="preserve">Muzaffer Tolga AKBULUT        </t>
  </si>
  <si>
    <t xml:space="preserve">Müge   SARI YILMAZ         </t>
  </si>
  <si>
    <t xml:space="preserve">Münevver       ŞEN DAĞGÜLÜ    </t>
  </si>
  <si>
    <t xml:space="preserve">Müslüm   ÖZIŞIK         </t>
  </si>
  <si>
    <t xml:space="preserve">Müyesser Ebru  ERDÖNMEZ DİNÇER      </t>
  </si>
  <si>
    <t xml:space="preserve">Müzeyyen  DOĞAN          </t>
  </si>
  <si>
    <t xml:space="preserve">Nabi  YÜZER          </t>
  </si>
  <si>
    <t xml:space="preserve">Naci  YASTIKLI       </t>
  </si>
  <si>
    <t>Nadir ÇELİKÖZ</t>
  </si>
  <si>
    <t>Naime Hülya    BERKMEN</t>
  </si>
  <si>
    <t xml:space="preserve">Nazire   DİKER       </t>
  </si>
  <si>
    <t xml:space="preserve">Nazlı Ferah AKINCI         </t>
  </si>
  <si>
    <t xml:space="preserve">Nazmiye YAHNİOĞLU      </t>
  </si>
  <si>
    <t xml:space="preserve">Nebahat  DEMİRHAN       </t>
  </si>
  <si>
    <t>Necmettin MARAŞLI</t>
  </si>
  <si>
    <t xml:space="preserve">Necmiye Özlem  ÜNVERDİ        </t>
  </si>
  <si>
    <t xml:space="preserve">Nehir   ÖZDEMİR ÖZGENTÜRK    </t>
  </si>
  <si>
    <t xml:space="preserve">Nejat Nuri     ÇETİNKAYA      </t>
  </si>
  <si>
    <t>Nelisa TÜRKOĞLU</t>
  </si>
  <si>
    <t xml:space="preserve">Nergis  ARSU           </t>
  </si>
  <si>
    <t>Nermin ÇİFTÇİ ARIDAĞ</t>
  </si>
  <si>
    <t xml:space="preserve">Neslihan   MANAV DEMİR      </t>
  </si>
  <si>
    <t xml:space="preserve">Neşe  AKDAĞ          </t>
  </si>
  <si>
    <t xml:space="preserve">Nevim   SAN            </t>
  </si>
  <si>
    <t xml:space="preserve">Nevra ERTÜRK         </t>
  </si>
  <si>
    <t xml:space="preserve">Nezir   AYDIN          </t>
  </si>
  <si>
    <t xml:space="preserve">Nihan    ALTINTAŞ       </t>
  </si>
  <si>
    <t xml:space="preserve">Nihan   KAHRAMAN   </t>
  </si>
  <si>
    <t xml:space="preserve">Nihan  ÇETİN DEMİREL  </t>
  </si>
  <si>
    <t xml:space="preserve">Nihat   ERSOY          </t>
  </si>
  <si>
    <t xml:space="preserve">Nihat   KABAY          </t>
  </si>
  <si>
    <t xml:space="preserve">Nil    ACARALI  </t>
  </si>
  <si>
    <t xml:space="preserve">Nilgün    GÜLER BAYAZIT  </t>
  </si>
  <si>
    <t xml:space="preserve">Nilgün   KUŞKONMAZ      </t>
  </si>
  <si>
    <t xml:space="preserve">Nilgün Çolpan  ERKAN </t>
  </si>
  <si>
    <t xml:space="preserve">Nimet   YILMAZ CANLI   </t>
  </si>
  <si>
    <t>Nizamettin AYDIN</t>
  </si>
  <si>
    <t xml:space="preserve">Nur   URFALIOĞLU     </t>
  </si>
  <si>
    <t>Nur ÇEBİ</t>
  </si>
  <si>
    <t xml:space="preserve">Nuran    GÜZEL          </t>
  </si>
  <si>
    <t xml:space="preserve">Nuran   PILEHVARIAN    </t>
  </si>
  <si>
    <t xml:space="preserve">Nurcan   TUĞRUL         </t>
  </si>
  <si>
    <t xml:space="preserve">Nurettin   UMURKAN        </t>
  </si>
  <si>
    <t xml:space="preserve">Nurhan    TÜRKER TOKAN        </t>
  </si>
  <si>
    <t xml:space="preserve">Nurhan  CANSEVER       </t>
  </si>
  <si>
    <t xml:space="preserve">Nursel   CAN            </t>
  </si>
  <si>
    <t xml:space="preserve">Nursu   TUNALIOĞLU     </t>
  </si>
  <si>
    <t xml:space="preserve">Nurten  VARDAR         </t>
  </si>
  <si>
    <t>Nurten GÜRSES</t>
  </si>
  <si>
    <t xml:space="preserve">Oğuz   ALTUN          </t>
  </si>
  <si>
    <t>Oğuz Kaan ÖZDEMİR</t>
  </si>
  <si>
    <t xml:space="preserve">Oktay    ARIKAN         </t>
  </si>
  <si>
    <t>Oktay YILMAZ</t>
  </si>
  <si>
    <t xml:space="preserve">Onur    AKBATI         </t>
  </si>
  <si>
    <t xml:space="preserve">Orhan  ÖZDEMİR        </t>
  </si>
  <si>
    <t>Orhan CANPOLAT</t>
  </si>
  <si>
    <t>Orhan İÇELLİ</t>
  </si>
  <si>
    <t xml:space="preserve">Orkun    ÖZENER         </t>
  </si>
  <si>
    <t xml:space="preserve">Osman   İSMAİL         </t>
  </si>
  <si>
    <t>Osman SAĞDIÇ</t>
  </si>
  <si>
    <t xml:space="preserve">Oya   BAYKAL ÜNAL       </t>
  </si>
  <si>
    <t xml:space="preserve">Oya   KALIPSIZ       </t>
  </si>
  <si>
    <t xml:space="preserve">Oya  AKIN           </t>
  </si>
  <si>
    <t>Ozan  ERDİNÇ</t>
  </si>
  <si>
    <t xml:space="preserve">Ömer    GÖK            </t>
  </si>
  <si>
    <t xml:space="preserve">Ömer   APAYDIN        </t>
  </si>
  <si>
    <t xml:space="preserve">Ömer Faruk     TUNCER         </t>
  </si>
  <si>
    <t xml:space="preserve">Ömer Özgür   BOZKURT        </t>
  </si>
  <si>
    <t>Ömer Said TOKER</t>
  </si>
  <si>
    <t>Ömer SAVAŞ</t>
  </si>
  <si>
    <t xml:space="preserve">Ömür   BARKUL         </t>
  </si>
  <si>
    <t xml:space="preserve">Önder  YARGI          </t>
  </si>
  <si>
    <t xml:space="preserve">Övün     IŞIN           </t>
  </si>
  <si>
    <t>Öyküm EsraAŞKIN</t>
  </si>
  <si>
    <t xml:space="preserve">Özden   AĞRA           </t>
  </si>
  <si>
    <t>Özer ÇINAR</t>
  </si>
  <si>
    <t>Özge Nalan BİLİŞİK</t>
  </si>
  <si>
    <t xml:space="preserve">Özgen   AÇIKGÖZ        </t>
  </si>
  <si>
    <t>Özgen Ümit  ÇOLAK ÇAKIR</t>
  </si>
  <si>
    <t xml:space="preserve">Özgür   AKÇALI         </t>
  </si>
  <si>
    <t xml:space="preserve">Özgür   ÇAKIR          </t>
  </si>
  <si>
    <t>Özgür  AVCI</t>
  </si>
  <si>
    <t>Özgür DEMİR</t>
  </si>
  <si>
    <t>Özgür Turay KAYMAKÇI</t>
  </si>
  <si>
    <t>Özgür YILDIRIM</t>
  </si>
  <si>
    <t>Özkan SAPSAĞLAM</t>
  </si>
  <si>
    <t xml:space="preserve">Özlem   AKSU DÖNMEZ        </t>
  </si>
  <si>
    <t xml:space="preserve">Özlem   BAKŞİ          </t>
  </si>
  <si>
    <t>Özlem   DOĞAN AYDENİZ</t>
  </si>
  <si>
    <t>Özlem  BERAK KORKMAZOĞLU</t>
  </si>
  <si>
    <t xml:space="preserve">Özlem  CANKURTARAN    </t>
  </si>
  <si>
    <t>Özlem YAZICI</t>
  </si>
  <si>
    <t>Öznur ÇAKIR</t>
  </si>
  <si>
    <t>Öznur DÜLGER KUTLU</t>
  </si>
  <si>
    <t xml:space="preserve">Pelin   ÖZENER </t>
  </si>
  <si>
    <t xml:space="preserve">Petek Ayda  USTAÖMER       </t>
  </si>
  <si>
    <t>MESLEK YÜKSEK OKULU</t>
  </si>
  <si>
    <t xml:space="preserve">Pınar   ALBAYRAK    </t>
  </si>
  <si>
    <t>Polat DARÇIN</t>
  </si>
  <si>
    <t>Rabia ÇAKIR KOÇ</t>
  </si>
  <si>
    <t>Rafet ŞİŞMAN</t>
  </si>
  <si>
    <t xml:space="preserve">Rahmi   GÜÇLÜ          </t>
  </si>
  <si>
    <t xml:space="preserve">Ramazan     TEKERCİOĞLU    </t>
  </si>
  <si>
    <t>Ramazan DAŞBAŞI</t>
  </si>
  <si>
    <t xml:space="preserve">Ramazan Gürsel   HOŞBAŞ         </t>
  </si>
  <si>
    <t xml:space="preserve">Recep    YUMURTACI      </t>
  </si>
  <si>
    <t>Remziye CEYLAN</t>
  </si>
  <si>
    <t xml:space="preserve">Reşat   KÖŞKER         </t>
  </si>
  <si>
    <t xml:space="preserve">Reşit    ÇELİK          </t>
  </si>
  <si>
    <t xml:space="preserve">Revna   ACAR VURAL     </t>
  </si>
  <si>
    <t xml:space="preserve">Reyhan    KAYA           </t>
  </si>
  <si>
    <t xml:space="preserve">Saadet Arzu    BERİLGEN       </t>
  </si>
  <si>
    <t xml:space="preserve">Sadiye Nergis  TURAL POLAT          </t>
  </si>
  <si>
    <t>Sadullah Levent KUZU</t>
  </si>
  <si>
    <t>Sakip ÖNDER</t>
  </si>
  <si>
    <t xml:space="preserve">Salih    ÇELİK          </t>
  </si>
  <si>
    <t>Salih KARASU</t>
  </si>
  <si>
    <t>Salim YÜCE</t>
  </si>
  <si>
    <t xml:space="preserve">Sebahat Ebru   DAŞ     </t>
  </si>
  <si>
    <t xml:space="preserve">Sebiha  YILDIZ         </t>
  </si>
  <si>
    <t xml:space="preserve">Seçkin Dündar GÜNAY          </t>
  </si>
  <si>
    <t>Seda   KIZILBUDAK ÇALIŞKAN</t>
  </si>
  <si>
    <t xml:space="preserve">Selami   DEMİR          </t>
  </si>
  <si>
    <t>Selçuk  ÇEBİ</t>
  </si>
  <si>
    <t xml:space="preserve">Selim  AY             </t>
  </si>
  <si>
    <t xml:space="preserve">Selin    ÖZÇIRA ÖZKILIÇ   </t>
  </si>
  <si>
    <t xml:space="preserve">Selin   SONER KARA        </t>
  </si>
  <si>
    <t xml:space="preserve">Selin   YILDIZ       </t>
  </si>
  <si>
    <t xml:space="preserve">Selmahan  SELİM          </t>
  </si>
  <si>
    <t xml:space="preserve">Sema    ALACALI        </t>
  </si>
  <si>
    <t xml:space="preserve">Semih     SEZER          </t>
  </si>
  <si>
    <t xml:space="preserve">Semih  ÖNÜT           </t>
  </si>
  <si>
    <t>Semiha ERİŞEN</t>
  </si>
  <si>
    <t>Semra KIRBOĞA OKUMUŞ</t>
  </si>
  <si>
    <t xml:space="preserve">Senay   OĞUZTİMUR      </t>
  </si>
  <si>
    <t>Senem KAYMAZ KOCA</t>
  </si>
  <si>
    <t>Senem KOZAMAN</t>
  </si>
  <si>
    <t xml:space="preserve">Sennur   DENİZ          </t>
  </si>
  <si>
    <t xml:space="preserve">Serap    DERMAN    </t>
  </si>
  <si>
    <t xml:space="preserve">Serap  GÜNEŞ   </t>
  </si>
  <si>
    <t xml:space="preserve">Serço Serkis   YEŞİLKAYA      </t>
  </si>
  <si>
    <t>Serhan ULUKAYA</t>
  </si>
  <si>
    <t xml:space="preserve">Serhat   BAŞDOĞAN       </t>
  </si>
  <si>
    <t xml:space="preserve">Serhat Bahadır KERT           </t>
  </si>
  <si>
    <t xml:space="preserve">Serkan   EKİNCİ         </t>
  </si>
  <si>
    <t>Serkan ALTUNTAŞ</t>
  </si>
  <si>
    <t>Serkan BEKİROĞLU</t>
  </si>
  <si>
    <t xml:space="preserve">Serpil    USLU           </t>
  </si>
  <si>
    <t xml:space="preserve">Serpil   KARAYEL   </t>
  </si>
  <si>
    <t>Serpil KILIÇ DEPREN</t>
  </si>
  <si>
    <t xml:space="preserve">Sertel    ALTUN          </t>
  </si>
  <si>
    <t xml:space="preserve">Server Funda   KERESTECİOĞLU  </t>
  </si>
  <si>
    <t xml:space="preserve">Servet   ES             </t>
  </si>
  <si>
    <t xml:space="preserve">Sevgi   KOCAOBA        </t>
  </si>
  <si>
    <t xml:space="preserve">Sevgül    LİMONCU        </t>
  </si>
  <si>
    <t>Sevil YÜCEL</t>
  </si>
  <si>
    <t xml:space="preserve">Sevnur    DOĞRUYOL  </t>
  </si>
  <si>
    <t xml:space="preserve">Seyfettin   BAYRAKTAR      </t>
  </si>
  <si>
    <t xml:space="preserve">Seyfullah   KEYF           </t>
  </si>
  <si>
    <t>Sezgin BAKIRDERE</t>
  </si>
  <si>
    <t>Sezgin ÇELİK</t>
  </si>
  <si>
    <t xml:space="preserve">Sıddıka Sabiha   YALÇIN   </t>
  </si>
  <si>
    <t xml:space="preserve">Sırma   TURGUT         </t>
  </si>
  <si>
    <t xml:space="preserve">Sırma   YAVUZ          </t>
  </si>
  <si>
    <t xml:space="preserve">Sibel    ZORLU PARTAL         </t>
  </si>
  <si>
    <t xml:space="preserve">Sibel  DAĞLILAR       </t>
  </si>
  <si>
    <t xml:space="preserve">Sinan   ÇETİNKAYA      </t>
  </si>
  <si>
    <t>Sinem DURMUŞ</t>
  </si>
  <si>
    <t>Songül   VARLI</t>
  </si>
  <si>
    <t>Suat AKBULUT</t>
  </si>
  <si>
    <t xml:space="preserve">Sultan   ÇELİK          </t>
  </si>
  <si>
    <t xml:space="preserve">Süleyman   ŞAKAR          </t>
  </si>
  <si>
    <t xml:space="preserve">Süreyya   AYDIN YÜKSEL  </t>
  </si>
  <si>
    <t xml:space="preserve">Şayeste Tülin  GÖRGÜLÜ        </t>
  </si>
  <si>
    <t xml:space="preserve">Şefika Feza ORHAN          </t>
  </si>
  <si>
    <t xml:space="preserve">Şenay    ATABAY         </t>
  </si>
  <si>
    <t xml:space="preserve">Şenay   VURAL KORKUT   </t>
  </si>
  <si>
    <t xml:space="preserve">Şensin  YAĞMUR         </t>
  </si>
  <si>
    <t xml:space="preserve">Şeref Naci  ENGİN          </t>
  </si>
  <si>
    <t>Şerife Gonca ZEREN</t>
  </si>
  <si>
    <t xml:space="preserve">Şevket Özgür   ATAYILMAZ      </t>
  </si>
  <si>
    <t>Şule DİNÇ ZOR</t>
  </si>
  <si>
    <t xml:space="preserve">Şükran   ŞEKER          </t>
  </si>
  <si>
    <t xml:space="preserve">Şükrü   ERSOY          </t>
  </si>
  <si>
    <t xml:space="preserve">Şükrü Ayhan   GAZİOĞLU       </t>
  </si>
  <si>
    <t xml:space="preserve">Tamer    KEPCELER       </t>
  </si>
  <si>
    <t xml:space="preserve">Tamer   YILMAZ         </t>
  </si>
  <si>
    <t>Tansal GÜÇLÜOĞLU</t>
  </si>
  <si>
    <t>Tarık EREN</t>
  </si>
  <si>
    <t>Tarık KOÇAL</t>
  </si>
  <si>
    <t xml:space="preserve">Tarkan SANDALCI       </t>
  </si>
  <si>
    <t xml:space="preserve">Taylan   ÖCALAN         </t>
  </si>
  <si>
    <t xml:space="preserve">Togan   TONG           </t>
  </si>
  <si>
    <t xml:space="preserve">Tolga   İSLAM          </t>
  </si>
  <si>
    <t xml:space="preserve">Tolga   MERT           </t>
  </si>
  <si>
    <t xml:space="preserve">Töre  SEÇİLMİŞLER    </t>
  </si>
  <si>
    <t xml:space="preserve">Tuba    BOSTAN         </t>
  </si>
  <si>
    <t xml:space="preserve">Tufan    DEMİREL        </t>
  </si>
  <si>
    <t>Tuğba    EFENDİGİL</t>
  </si>
  <si>
    <t>Tuğçe   ERCAN</t>
  </si>
  <si>
    <t xml:space="preserve">Tuncay   UZUN           </t>
  </si>
  <si>
    <t>Tuncay SEVİNDİK</t>
  </si>
  <si>
    <t xml:space="preserve">Tuncer   KAYA           </t>
  </si>
  <si>
    <t xml:space="preserve">Tülay   ERBESLER   </t>
  </si>
  <si>
    <t xml:space="preserve">Tülay   YILDIRIM       </t>
  </si>
  <si>
    <t>Tülin ARASOĞLU</t>
  </si>
  <si>
    <t xml:space="preserve">Türkay  GÖKGÖZ         </t>
  </si>
  <si>
    <t xml:space="preserve">Türker     TÜRKER         </t>
  </si>
  <si>
    <t>Ufuk SAKARYA</t>
  </si>
  <si>
    <t xml:space="preserve">Uğur   GÜVEN          </t>
  </si>
  <si>
    <t xml:space="preserve">Uğur   KURT           </t>
  </si>
  <si>
    <t xml:space="preserve">Uğur  ACAR           </t>
  </si>
  <si>
    <t xml:space="preserve">Uğur  DOĞAN          </t>
  </si>
  <si>
    <t xml:space="preserve">Uğur Buğra     ÇELEBİ         </t>
  </si>
  <si>
    <t xml:space="preserve">Uğur Savaş     SELAMOĞULLARI  </t>
  </si>
  <si>
    <t xml:space="preserve">Umut Engin     AYTEN          </t>
  </si>
  <si>
    <t>Umut KINIT</t>
  </si>
  <si>
    <t xml:space="preserve">Umut Rıfat  TUZKAYA        </t>
  </si>
  <si>
    <t xml:space="preserve">Uzay  YERGÜN         </t>
  </si>
  <si>
    <t xml:space="preserve">Ülkü   YEŞİL </t>
  </si>
  <si>
    <t>Ünsal UMDU TOPSAKAL</t>
  </si>
  <si>
    <t xml:space="preserve">Vahap Engin  GÜLAL          </t>
  </si>
  <si>
    <t xml:space="preserve">Vasfi Emre     ÖMÜRLÜ         </t>
  </si>
  <si>
    <t>Vatan KARAKAYA</t>
  </si>
  <si>
    <t>Vefa TAŞDELEN</t>
  </si>
  <si>
    <t xml:space="preserve">Veli HAKKOYMAZ </t>
  </si>
  <si>
    <t xml:space="preserve">Vildan    ÖZKIR          </t>
  </si>
  <si>
    <t xml:space="preserve">Volkan   ÇAĞDAŞ         </t>
  </si>
  <si>
    <t xml:space="preserve">Volkan  SÖZER          </t>
  </si>
  <si>
    <t>Yahya BAYRAK</t>
  </si>
  <si>
    <t xml:space="preserve">Yalçın  YÜKSEL         </t>
  </si>
  <si>
    <t xml:space="preserve">Yaman   ERARSLAN       </t>
  </si>
  <si>
    <t xml:space="preserve">Yasemen   KALPAKLI       </t>
  </si>
  <si>
    <t xml:space="preserve">Yasemen   ÖZER       </t>
  </si>
  <si>
    <t xml:space="preserve">Yasemen   UÇAN   </t>
  </si>
  <si>
    <t>Yasemin   ALAGÖZ</t>
  </si>
  <si>
    <t xml:space="preserve">Yasemin   YILDIZ YARAR          </t>
  </si>
  <si>
    <t>Yasemin ARIKAN ÖZDEN</t>
  </si>
  <si>
    <t>Yasemin ÖNER</t>
  </si>
  <si>
    <t xml:space="preserve">Yasin   ÜST            </t>
  </si>
  <si>
    <t xml:space="preserve">Yaşar   AVŞAR          </t>
  </si>
  <si>
    <t>Yaşar NUHOĞLU</t>
  </si>
  <si>
    <t xml:space="preserve">Yavuz    SALT           </t>
  </si>
  <si>
    <t>Yavuz EREN</t>
  </si>
  <si>
    <t>Yavuz ERİŞEN</t>
  </si>
  <si>
    <t xml:space="preserve">Yeşim   ÖZCANLI        </t>
  </si>
  <si>
    <t xml:space="preserve">Yeşim ÇELİKOĞLU      </t>
  </si>
  <si>
    <t>Yıldırım Serhat ERDOĞAN</t>
  </si>
  <si>
    <t xml:space="preserve">Yiğit  EVREN          </t>
  </si>
  <si>
    <t xml:space="preserve">Yonca   SEZER          </t>
  </si>
  <si>
    <t>Yunus Emre SELÇUK</t>
  </si>
  <si>
    <t>Yusuf AYVAZ</t>
  </si>
  <si>
    <t>Yusuf YERLİ</t>
  </si>
  <si>
    <t>Yusuf ZEREN</t>
  </si>
  <si>
    <t>Yücel ŞAHİN</t>
  </si>
  <si>
    <t>Yüksel PALACI</t>
  </si>
  <si>
    <t xml:space="preserve">Zafer   KÜTÜĞ          </t>
  </si>
  <si>
    <t xml:space="preserve">Zafer   SAĞDIÇ         </t>
  </si>
  <si>
    <t xml:space="preserve">Zehra   CAN            </t>
  </si>
  <si>
    <t xml:space="preserve">Zehra   YUMURTACI      </t>
  </si>
  <si>
    <t xml:space="preserve">Zehra Canan    GİRGİN         </t>
  </si>
  <si>
    <t>Zehra Gülru ÇAM TAŞKIRAN</t>
  </si>
  <si>
    <t>Zehra TAŞPINAR ŞENER</t>
  </si>
  <si>
    <t xml:space="preserve">Zekiye   YENEN          </t>
  </si>
  <si>
    <t xml:space="preserve">Zerrin   ÇALIŞKAN       </t>
  </si>
  <si>
    <t xml:space="preserve">Zerrin   ÖZÇUBUKCU      </t>
  </si>
  <si>
    <t xml:space="preserve">Zeyneb     KURT         </t>
  </si>
  <si>
    <t>Zeynel YALÇIN</t>
  </si>
  <si>
    <t xml:space="preserve">Zeynep   IŞIK           </t>
  </si>
  <si>
    <t xml:space="preserve">Zeynep  GÜVEN ÖZDEMİR   </t>
  </si>
  <si>
    <t>Zeynep DOĞAN</t>
  </si>
  <si>
    <t xml:space="preserve">Zeynep Dürriye BİLGE          </t>
  </si>
  <si>
    <t xml:space="preserve">Zeynep Gül  ÜNAL           </t>
  </si>
  <si>
    <t xml:space="preserve">Zeynep Şirin   ENLİL          </t>
  </si>
  <si>
    <t xml:space="preserve">Ziya Cihan   TAYŞİ          </t>
  </si>
  <si>
    <t xml:space="preserve">Zühal  TURGUT         </t>
  </si>
  <si>
    <t xml:space="preserve">Yayın  </t>
  </si>
  <si>
    <t>BİLGİSAYAR MÜH.</t>
  </si>
  <si>
    <t>BİYOMEDİKAL MÜH.</t>
  </si>
  <si>
    <t>GIDA MÜH. BÖL.</t>
  </si>
  <si>
    <t>HARİTA MÜH.</t>
  </si>
  <si>
    <t>KONTROL VE OTOMASYON MÜH.</t>
  </si>
  <si>
    <t>MEKATRONİK MÜH.</t>
  </si>
  <si>
    <t xml:space="preserve">ÇEVRE MÜH. </t>
  </si>
  <si>
    <t xml:space="preserve">ELEKTRİK MÜH. </t>
  </si>
  <si>
    <t xml:space="preserve">ENDÜSTRİ MÜH. </t>
  </si>
  <si>
    <t xml:space="preserve">FİZİK  </t>
  </si>
  <si>
    <t xml:space="preserve">İNŞAAT  </t>
  </si>
  <si>
    <t xml:space="preserve">İNŞAAT MÜH.  </t>
  </si>
  <si>
    <t xml:space="preserve">İSTATİSTİK  </t>
  </si>
  <si>
    <t xml:space="preserve">KİMYA  </t>
  </si>
  <si>
    <t xml:space="preserve">KİMYA MÜH. </t>
  </si>
  <si>
    <t xml:space="preserve">MAKİNE MÜH. </t>
  </si>
  <si>
    <t xml:space="preserve">MATEMATİK  </t>
  </si>
  <si>
    <t xml:space="preserve">MATEMATİK MÜH. </t>
  </si>
  <si>
    <t xml:space="preserve">MATEMATİK VE FEN BİLİMLERİ EĞİTİMİ  </t>
  </si>
  <si>
    <t xml:space="preserve">MİMARLIK  </t>
  </si>
  <si>
    <t xml:space="preserve">TEMEL EĞİTİM  </t>
  </si>
  <si>
    <t>ELEKTRİK- ELEK. FAKÜLTESİ</t>
  </si>
  <si>
    <t xml:space="preserve"> ELEK. VE HAB.MÜH.BÖL</t>
  </si>
  <si>
    <t>GEMİ İNŞ. VE DENİZCİLİK FAKÜLTESİ</t>
  </si>
  <si>
    <t>GEMİ İNŞ. VE GEMİ MAK. MÜH.</t>
  </si>
  <si>
    <t>GEMİ MAK. İŞLETME MÜH.</t>
  </si>
  <si>
    <t xml:space="preserve">MOL. BİYOLOJİ VE GENETİK  </t>
  </si>
  <si>
    <t>BİLG. VE ÖĞR. TEK.  EĞT.</t>
  </si>
  <si>
    <t>Zaman Serileri Yöntemleri İle Yenilenebilir Enerji Kaynaklarının Güç Üretim Tahminlenmesi</t>
  </si>
  <si>
    <t>Gözenekli Hidrojel Sentezi Ve Karakterizasyonu</t>
  </si>
  <si>
    <t>Proton Geçirimli Membran Tipi Yakıt Hücrelerinde Gaz Difüzyon Tabakasının Modifikasyonu Ve Modellenmesi</t>
  </si>
  <si>
    <t>Kinetik Enerji Geri Kazanım Sistemi Tasarımı</t>
  </si>
  <si>
    <t>Bım Modellerının Olusturulmasında Genellestırme Yaklasımlarının Uygulanması</t>
  </si>
  <si>
    <t>Grafen Oksit Temelli Nanokompozit Üretiminin Optimizasyonu Ve Fotokatalitik Antibakteriyel Aktivitesinin Araştırılması</t>
  </si>
  <si>
    <t>Cıddı Oyunların İlköğretım 5.Sınıf Öğrencılerın Fen Bılımlerı Dersıne Karşı Tutumlarına Etkısı</t>
  </si>
  <si>
    <t>Alvaro Siza Mimarlığı</t>
  </si>
  <si>
    <t>İşletmelerde Müşteri Deneyiminin Müşteri Sadakati Ve Hizmet Kalitesi İle İlişkisi</t>
  </si>
  <si>
    <t>Kamu Özel İş Birliği Yatırımlarına Ait Finansal Risklerin Tasarım Sürecinde Yönetimi (Kaynaşlı Kültür Merkezi Binası Örneği)</t>
  </si>
  <si>
    <t>Açık Yeşil Alanların Kullanıcı Ve Çevre Açısından İrdelenmesi: Yahya Kemal (Serencebey) Parkı Örneği</t>
  </si>
  <si>
    <t>Evrimsel Algoritmalar Kullanarak Analog Devre Tasarımı</t>
  </si>
  <si>
    <t>Isı Ve Su Yalıtımı Uygulamaları Üzerine Bir Çalışma</t>
  </si>
  <si>
    <t>Polimerik İmplant Kullanımında Karşılaşılan Problemlerin Yaratıcı Problem Çözme Teorisi İle Değerlendirilmesi</t>
  </si>
  <si>
    <t>Bakterilerin (Escherichia Coli Ve Enterococcus Faecalis) Gözenekli Silisyum Yüzeyinde Depolanmasında Elektrik Alanın Etkisi</t>
  </si>
  <si>
    <t>3 Boyutlu Uzayda Ve Kapalı Ortamlarda Bir Mobil Robotun Konum Ve Hedef Tespiti</t>
  </si>
  <si>
    <t>Aktif Elamanlar İle Faz İlerlemeli, Gecikmeli Kompansatör Ve Kontrolör Devrelerinin Tasarımı</t>
  </si>
  <si>
    <t>Sıcak Eriyik Ekstrüzyon Teknolojisi İle Posakonazol Etken Maddesinin Çözünürlüğünü Artırmak İçin Hidrofilik Polimerlerin Kullanımı</t>
  </si>
  <si>
    <t>Çoklu Döküm Alçı Kalıp Karakterizasyonu Ve Kurutma Parametrelerinin Belirlenmesi</t>
  </si>
  <si>
    <t>Enerji Sistemlerinin Performans Ve Boyut Optimizasyonu: Yapısal Gelişim Teorisi</t>
  </si>
  <si>
    <t>Mekanik Dübellerin Dinamik Yük Etkiler Altında Yapısal Olarak İncelenmesi</t>
  </si>
  <si>
    <t>Openstreetmap Verilerindeki Bina Çokgenlerinin Büyük Ölçekli Topografik Harita Verileri İle Karşılaştırmalı Geometrik Kalite Analizi</t>
  </si>
  <si>
    <t>Nanoselüloz Dolgulu Sodyum Aljinat/Polivinil Alkol Matrisli Membranların Hazırlanması Karakterizasyonu Ve Alkol Su Karışımlarını Ayırma Performansının İncelenmesi</t>
  </si>
  <si>
    <t>Cam Elyaf Takviyeli Betonun Mekanik Ve Durabilite Özellikleri</t>
  </si>
  <si>
    <t>Lie Simetrilerinin Diferansiyel Denklemler Ve Fark Denklemlerine Uygulanması</t>
  </si>
  <si>
    <t>Hibrit Araçlarda Yakıt Tüketimi Ve Emisyonların Modellemesi</t>
  </si>
  <si>
    <t>İki Eksenli Dinamik Kamera Stabilizatörü</t>
  </si>
  <si>
    <t>Değişken Açılı Kanat Sisteminin Pıd Kontrol İle Test Sisteminin Oluşturulması</t>
  </si>
  <si>
    <t>Pediatrik Girişimsel Kardiyoloji Uygulamalarında Personel Dozu</t>
  </si>
  <si>
    <t>İstanbul’Daki Günlük Ulaşım Hareketlerinin Mekansal İstatistik Yöntemiyle Analiz Edilmesi</t>
  </si>
  <si>
    <t>Alternatif Enerjili Yarış Araçları İçin Önerilecek Yeni Bir Özel Lastik İle Kalıbının Tasarım Ve İmalat Aşamalarının Gerçekleştirilmesi</t>
  </si>
  <si>
    <t>Co2 Ve H2 Gaz Ayırma Uygulamaları İçin Polimer/Mof Membranların Hazırlanması Ve Gaz Ayırma Özellikleri</t>
  </si>
  <si>
    <t>Artırılmış Ve Sanal Gerçeklik Uygulamalarının Mimarlık Alanındaki Yansımaları</t>
  </si>
  <si>
    <t>Mikrofonlar Aracılığıyla Ses Kaynağı Konumu Tespiti Ve Uygulaması</t>
  </si>
  <si>
    <t>Osman Hamdi Bey Evi Ve Müzesi Üzerine Bir İnceleme</t>
  </si>
  <si>
    <t>Mobil Uygulamaların Kullanılabilirliği Ve Kullanıcı Deneyimi</t>
  </si>
  <si>
    <t>Çok Değişkenli Kalibrasyon Yöntemiyle Çoklu Karışım Analizi Ve Validasyon</t>
  </si>
  <si>
    <t>Trafik Güvenliği Çalışmalarında Kaza Kara Noktalarını Belirleme Ve Analiz Yöntemlerinin İncelenmesi</t>
  </si>
  <si>
    <t>Sıcak Kamaralı Basınçlı Döküm Yönteminde Proses Optimizasyonu Ve Alaşım Modifikasyonu</t>
  </si>
  <si>
    <t>Volan Ve Lı-Ion Batarya Enerji Depolama Sistemlerinin Kıyaslanması Ve Hibrit Enerji Depolama Sisteminin Farklı Yük Profilleri Üzerinde Performans Analizi</t>
  </si>
  <si>
    <t>İlköğretim 7. Ve 8. Sınıf Öğrencilerinin Sürdürülebilir Kalkınmaya Yönelik Tutumları Ve Tutumları İle İlişkili Faktörler</t>
  </si>
  <si>
    <t>Optik Ağların Analizi Ve Uygulamaları</t>
  </si>
  <si>
    <t>Heterocephalus Glaber Metallothionein Proteini Üreten Mezenkimal Kök Hücre Hattının Statik Manyetik Alan Etkisinde Osteoblastik Farklılaşma Potansiyelinin İncelenmesi</t>
  </si>
  <si>
    <t>Yüksek Mertebeli Matris Diferansiyel Denklemleri İçin Krylov Yöntemleri</t>
  </si>
  <si>
    <t>Yoğun Kablosuz Yerel Alan Ağları (Wlans) İçin Öğrenme Esaslı Mekansal Yeniden Kullanım Optimizasyonu</t>
  </si>
  <si>
    <t>Konuralp Beldesi Geleneksel Yerleşim Dokusu İncelenmesi Ve Koruma Önerileri</t>
  </si>
  <si>
    <t>Led Sürücü Devresinin Tasarım Ve Simülasyonu</t>
  </si>
  <si>
    <t>Kimyasal Püskürtme Yöntemiyle Homojenliği Arttıracak Sisleştirici/Püskürtme Odacık Sisteminin Geliştirilmesi Ve Farklı Malzemelerde Uygulanması</t>
  </si>
  <si>
    <t>Yat Tasarımı Ve Üretimde 3D Printer Kullanımı</t>
  </si>
  <si>
    <t>Iı. Abdülhamid Dönemi İtibarıyla Kentsel Modernleşme Hareketleri Ve Değişen İstanbul Düzeni</t>
  </si>
  <si>
    <t>İstanbul Tarihi Yarımada’Nın Marka Açısından İrdelenmesi</t>
  </si>
  <si>
    <t>Otomotiv Sektöründe Kullanılmak Üzere Alüminyum Matrisli Seramik Partikül Takviyeli Kompozit Malzemeler</t>
  </si>
  <si>
    <t>Kombine Çevrim Santrallerinin Termodinamik Ve Termoekonomil Analizi</t>
  </si>
  <si>
    <t>Hava Araçlarında Kullanılan Jet Motorunun Donanım Çevriminde Modellenmesi Ve Kontrolü</t>
  </si>
  <si>
    <t>Tirilye, Eskipazar Caddesi Koruma Önerileri</t>
  </si>
  <si>
    <t>12.Yüzyıl Anadolu'Sunda Türk İslam Mezar Yapıları</t>
  </si>
  <si>
    <t>Osmanlı Dönemi'Nde İstanbul'Da Modern Sirk Mimarisi</t>
  </si>
  <si>
    <t>Katkılı Organik Sintilasyon Dedektörlerinin Karakterizasyonu</t>
  </si>
  <si>
    <t>Çağdaş Geniş Açıklıklı Çelik Yapı Sistemlerinin Yönetmelikler Bazında İncelenmesi</t>
  </si>
  <si>
    <t>Dalgacık Dönüşümleri İle Ses Parmak İzi Kontrolü</t>
  </si>
  <si>
    <t>Kapadokya Bölgesinde Kaya Oyma Yapılardan Çıkan Atık Malzemenin Puzolanik Aktivitesinin Araştırılması</t>
  </si>
  <si>
    <t>Bir Tasarım Dolayısıyla Araştırma Örneği; Kırşehir’ De Bağ Evi Tasarımı Üzerinden Mimari Sürdürülebilirlik Ve Üretim İlişkileri Tartışmaları</t>
  </si>
  <si>
    <t>Uyarlanabilir Cephe Sistemlerinde Güncel Yaklaşımlar Ve Uygulamaları</t>
  </si>
  <si>
    <t>Sürüş Özelliklerinden Sarsıntı Önleyici Fonksiyonun Nesnel Metriklerinin Belirlenmesi Ve İncelenmesi</t>
  </si>
  <si>
    <t>Hersek Bölgesi’Nde Xvı. - Xx. Yy’Da Taş Minareli Küçük Camilerinin Tarihsel Gelişimleri, Yapım Teknikleri Ve Bileça Hasan Paşa Predoyeviç Cami</t>
  </si>
  <si>
    <t>Gayrimenkul Projelerinde Yapı Üretim Süreci Odaklı Kalite Yönetimi Uygulamaları</t>
  </si>
  <si>
    <t>Güvenli, Performanslı Ve Yapay Zeka İçerikli Yazılım Tanımlı Ağların Oluşturulması</t>
  </si>
  <si>
    <t>Yapay Sinir Ağları Yöntemiyle Türkiye’Nin Aylık Elektrik Tüketimi Tahmini</t>
  </si>
  <si>
    <t>Aktarma Merkezi Kavramı Ve İstanbul’Da Raylı Sistem İstasyonları Odaklı Bir Değerlendirme</t>
  </si>
  <si>
    <t>Sezgisel Algoritmalar İle Portföy Optimizasyonu</t>
  </si>
  <si>
    <t>Alanya Kaleiçi Kalelerinin Tarihsel Gelişimi Ve Koruma Önerileri</t>
  </si>
  <si>
    <t>Türkiye’De Bulunan Meyan Türlerinin Bazı Biyoaktif Madde İçerikleri Bakımından Karşılaştırılarak Fonksiyonel Toz İçecek Eldesinde Kullanılması</t>
  </si>
  <si>
    <t>Oled’Ler İçin Yaşlanma Analizi</t>
  </si>
  <si>
    <t>Nesnelerin İnterneti Tabanlı Endüstri 4.0 Sanayi Uygulaması</t>
  </si>
  <si>
    <t>Parametrik Tasarımın Sürdürülebilir Mimarlıkta Kullanılabilirliği Üzerine</t>
  </si>
  <si>
    <t>Mevcut Bir Binanın Yenilenmesinde Pasif Ve Aktif Seçeneklerin Enerji Verimliliği Ve Maliyet Açısından Değerlendirilmesi</t>
  </si>
  <si>
    <t>Tersanelerde Çok Amaçlı Karar Verme Yöntemleri İle Proje Yönetimi</t>
  </si>
  <si>
    <t>Kuantum Bilgi Teorisi Üzerine Bir Çalışma</t>
  </si>
  <si>
    <t>Bitkisel Ve Petrokimyasal Poliol Karışımlarından Poliüretan Filmlerin Sentezi Ve Karakterizasyonu</t>
  </si>
  <si>
    <t>Muz Lifi Takviyeli Kompozit Malzemenin Üretimi Ve Termal Analizi</t>
  </si>
  <si>
    <t>Çileğin Kurutma Kinetiği Ve Kalite Karakteristiklerinin İncelenmesi</t>
  </si>
  <si>
    <t>Zeyrek-Cibali Bölgesi Geleneksel Konut Mimarisinin Son 20 Yıl İçindeki Koruma Ve Restorasyon Çalışmaları Öncesi Ve Sonrasının Değerlendirilmesi</t>
  </si>
  <si>
    <t>Kesirli Mertebeden Diferansiyel Denklemlerin Nümerik Çözümleri</t>
  </si>
  <si>
    <t>X Band Faz Dizili Anten Tasarımı Ve Analizi</t>
  </si>
  <si>
    <t>Bankaların Sermaye Yeterliliği Hesaplamarında Operasyonel Risk Ve Türkiye’Deki Bankaların Operasyonel Riske Bakışı</t>
  </si>
  <si>
    <t>Mimari Koruma Alanında Nanoteknoloji Kullanımı</t>
  </si>
  <si>
    <t>Kentsel Dönüşüm Projelerinin Yaşam Kalitesi Bağlamında Değerlendirilmesi: Bursa Soğanlı Projesi</t>
  </si>
  <si>
    <t>Mil Pervane Sisteminin Dinamik Analizi</t>
  </si>
  <si>
    <t>Muğla İlinde Yakıt Tüketimine Bağlı Karbon Ayakizi Değişimi</t>
  </si>
  <si>
    <t>Konut Alanlarındaki Ortak Kullanım Mekanlarının Değişimi</t>
  </si>
  <si>
    <t>İnşaat Proje Yönetimi İçin Yapı Bilgi Modellemesi (Bım) Olgunluk Modeli Geliştirilmesi</t>
  </si>
  <si>
    <t>Geç Osmanlı-Erken Cumhuriyet Dönemi Betonarme Yapılarında Bezeme/Süsleme</t>
  </si>
  <si>
    <t>Sveti Stefan Kilisesi’Nin Hacim Akustiği Ölçütleri Açısından İncelenmesi</t>
  </si>
  <si>
    <t>Endüstriyel Robotlarda Kol Geometrik Parametrelerinin Enerji Tüketimine Etkisi</t>
  </si>
  <si>
    <t>Yeni Tip Mesogenik Bileşiklerin Tasarımı, Sentezi, Karakterizasyonu Ve Mesomorfik Davranışlarının İncelenmesi</t>
  </si>
  <si>
    <t>Kentlerde Sosyal İyileşmenin, Yeni Nesil Kamusal Sanat Objeleri İle Sağlanması</t>
  </si>
  <si>
    <t>Otomotiv Sektöründe Bir Sürecin Otomasyon Sistemine Geçiş Kararının Çok Kriterli Karar Verme Yaklaşımı İle Analizi</t>
  </si>
  <si>
    <t>Yuvarlanmalı Yatakların Sonlu Elemanlar Yöntemi İle Modellenmesi Ve Ömür Hesapları</t>
  </si>
  <si>
    <t>Shs (Kendi İlerleyen Yüksek Sıcaklık Sentezi) Yöntemiyle Üretilen Co Ve Cr Takviyeli Tabakalı Nial Alaşımının Mikroyapı Ve Mekanik Özelliklerinin İncelenmesi</t>
  </si>
  <si>
    <t>Vakumda Kurutulmuş Kıymanın Hazır Çorba Üretiminde Kullanılması Ve Raf Ömrünün Belirlenmesi</t>
  </si>
  <si>
    <t>Merzifon'Da Geleneksel Konut Mimarisi Ve Sait Büyükgüner Evi Koruma Önerisi</t>
  </si>
  <si>
    <t>İstanbul’Daki Su Terazilerinin Koruma Ve Değerlendirilmesi</t>
  </si>
  <si>
    <t>Sanal Özel Ağ Servislerinde Yedeklilik Teknikleri Ve Uygulamaları</t>
  </si>
  <si>
    <t>Yol Ağı Kavşaklarında Trafik Akışının Simülasyonu Ve Konfigürasyondaki Değişim Etkilerinin Araştırılması</t>
  </si>
  <si>
    <t>Afet Sonrası Kalıcı Konutlarda Katılımcı Yaklaşım</t>
  </si>
  <si>
    <t>Ultraviyole Kürleştirilebilen Fosfor İçerikli Alev Geciktirici Polimer Sentezi Ve Karakterizasyonu</t>
  </si>
  <si>
    <t>Aromatik Bitkilerden Mikrodalga Ekstraksiyon Yönetimi İle Uçucu Yağ Eldesinin Optimizasyonu</t>
  </si>
  <si>
    <t>4G Lte Baz İstasyonları İçin Çok Bantlı Filtre Tasarımı</t>
  </si>
  <si>
    <t>İstanbul Çamlıca’Da 19. Yüzyıla Ait Ahmet Celaleddin Paşa Köşkü İçin Koruma Ve Restorasyon Önerisi</t>
  </si>
  <si>
    <t>Etkileşimli Mimarlık Çerçevesinde Mekânın Adaptasyon Potansiyelleri</t>
  </si>
  <si>
    <t>Çelik, Betonarme Ve Ahşap Yapım Sistemlerinin Sürdürülebilirlik Açısından Karşılaştırılması</t>
  </si>
  <si>
    <t>Köpük Ajanı İçeren Polipropilenin Plastik Enjeksiyon Kalıplanmasında Çarpılmanın Ve Çevrim Zamanının Optimizasyonu</t>
  </si>
  <si>
    <t>Stem Eğitimi: Hizmet İçi Fen Bilgisi Öğretmenlerinin Görüşleri, Tutumları Ve Hazırbulunuşlukları</t>
  </si>
  <si>
    <t>Elektrodöndürme Yöntemiyle Probiyotik Bakterilerin Enkapsülasyonu</t>
  </si>
  <si>
    <t>Anti-Tümör İlaç Taşıyıcısı Nanomalzemelerin Geliştirilmesi Ve Karakterizasyonu</t>
  </si>
  <si>
    <t>Sıcak Hava Ve İnfrared Kurutma Yöntemleri İle Önişlemlerin Üzümün Kurutma Karakteristikleri Üzerine Etkisi</t>
  </si>
  <si>
    <t>Sinyalize Kavşak Yönetiminde Yeşil Sonu Flaş Uygulaması: Malatya Örneği</t>
  </si>
  <si>
    <t>Birey Ve Mekan Arasında Geçen Çok Boyutlu Deneyim Psikoloji</t>
  </si>
  <si>
    <t>Yapay Sinir Ağları Modeli Ve Bir Uygulama</t>
  </si>
  <si>
    <t>İki Tekerlekli Bir Taşıtın Dinamik Analiz Ve Dengeleyici Jiroskop Tasarımı</t>
  </si>
  <si>
    <t>Comparison Of Up-To-Date Optimization Techniques Based On Some Real Data</t>
  </si>
  <si>
    <t>Elektrikli Toplu Taşıma Aracının Modellenmesi Ve Optimizasyonu</t>
  </si>
  <si>
    <t>Mimari Mekanın Algılanmasında Olgubilimsel Yaklaşımı; Yapı Kredi Kültür Sanat (Ykks) Örneği Üzerinden İrdeleme</t>
  </si>
  <si>
    <t>Kentsel Dönüşüm Projeleri İle Değişime Uğrayan Kent Mekanı</t>
  </si>
  <si>
    <t>Metal Sanayi Atıksularından Membran Distilasyonu İle Metal Giderimi</t>
  </si>
  <si>
    <t>İletken Polimer Kompozitlerin Sentezi Yapısal Ve Elektriksel Özelliklerinin Belirlenmesi</t>
  </si>
  <si>
    <t>Micrococcus Luteus Metabolitlerinin, Helicobacter Pylori’Nin Kokoid Formu Üzerindeki Etkisinin İncelenmesi.</t>
  </si>
  <si>
    <t>İznik Roma Tiyatrosu Mimari Bezemesi Ve Bithynia Bölgesi Tiyatroları Arasındaki Yeri Ve Önemi</t>
  </si>
  <si>
    <t>Kemaliye Evleri Düz Damlarında Kullanılan Sıkıştırılmış Kil Zeminlerin Hidrolik İletkenliğine Mineral Katkıların Etkisi</t>
  </si>
  <si>
    <t>Bulanık Lineer Regresyon</t>
  </si>
  <si>
    <t>Kentsel Dönüşüm Alanlarında Ulaşım Odaklı Yaklaşımın Kuzey Ankara Girişi Projesi Örneği Üzerinden İrdelenmesi</t>
  </si>
  <si>
    <t>Sıcak Nemli İklim Bölgelerinde Pasif Ve Aktif Nem Kontrolü İle Soğutma Enerjisi Yükünün Azaltılması-Adana`Da Güncel Konut Üretiminde İrdelenmesi</t>
  </si>
  <si>
    <t>Soğuk Sac Haddelenmesinde Verimlilik Ve Kalite</t>
  </si>
  <si>
    <t>İstanbul’Da Kamunun Mimari İmgeleri Ve 2000’Li Yıllardaki Değişimleri</t>
  </si>
  <si>
    <t>Bir Uyarlanmış Öğretim Ortamı Geliştirilmesi Ve Değerlendirilmesi</t>
  </si>
  <si>
    <t>İnce Yaygı Zno Nun Isıl Buharlaştırma Yöntemi İle Büyütülmesi Ve Yapısal Ve Optik Özelliklerinin Araştırılması</t>
  </si>
  <si>
    <t>Mikroalgal Biyoaktif Maddelerin Farklı Enkapsülasyon Yöntemleri İle İlaç Taşınımında Değerlendirilmesi</t>
  </si>
  <si>
    <t>Kentsel Yenileme Alanı İlan Edilen Kentsel Sit Alanlarının Planlanmasında Bir Yöntem Arayışı: Balbey Örneği</t>
  </si>
  <si>
    <t>Yapılarda Kullanılan Asbestli Ürünlerin Olumsuz Etkilerinin Giderilmesine Yönelik Çözüm Önerileri</t>
  </si>
  <si>
    <t>Aralık Değerli Pisagor Bulanık Analitik Hiyerarşi Süreci İle Türkiye’De Bir Havayolu Şirketi İçin Yeni Rota Seçimi</t>
  </si>
  <si>
    <t>Döşemeleri Öngerilmeli Beton Ve Betonarme Olarak Tasarlanan Çok Katlı Betonarme Yapıların Ekonomik Yönden Karşılaştırılması</t>
  </si>
  <si>
    <t>Çeşitli Kurutma Tekniklerinin Kerevizin Kurutma Kinetiği Üzerindeki Etkisi</t>
  </si>
  <si>
    <t>Sürekli Dökümle Üretilen Kütüklerde Manyetik Karıştırıcıların Kütük Makro Yapısına Etkisinin İncelenmesi</t>
  </si>
  <si>
    <t>Yaratıcı Sektörler Ve Yaratıcı İş Gücü, İstanbul Üzerine Değerlendirme</t>
  </si>
  <si>
    <t>Tarihi Çevrede Yeniden İşlevlendirme: Yeldeğirmeni, İstanbul Örneği</t>
  </si>
  <si>
    <t>İstanbul Kurtuluş Caddesi 19. Yy Sonu- 20. İlk Yarısına Ait Korunması Gerekli Sivil Mimarlık Örnekleri Üzerine Bir Çalışma</t>
  </si>
  <si>
    <t>Talaşlı İmalat Sektörü İş Sağlığı Ve Güvenliği Değerlendirmelerinin Çevre Yönetim Sistemleri İle İlişkilerinin Araştırılması</t>
  </si>
  <si>
    <t>P2 Elektrik-Hibrit Bir Kamyonun Yakıt Tüketiminin Çeşitli Parametrelere Duyarlılığının Analizi</t>
  </si>
  <si>
    <t>KüÇÜKçEkmece GöLü ÇEvresı̇ Arkeolojı̇K Sı̇T Alanlarının DöNüŞÜM Ve Koruma AçIsından İRdelenmesı̇: Avcılar Bathonea Antı̇K Kentı̇ ÖRneğİ</t>
  </si>
  <si>
    <t>Adaptif Öğrenme Sistemini Kullanan Lise Öğrencilerinin Derse Bağlanma Ve Teknoloji Kabulleri İle Bu Sistemi Kullanma Alışkanlıkları Arasındaki İlişki</t>
  </si>
  <si>
    <t>Yeşil Yapı Sürecine Yönelik Bir Yaklaşım</t>
  </si>
  <si>
    <t>Bahçeli Evler Yapı Kooperatifinin Mekânsal Dönüşümünün İncelenmesi</t>
  </si>
  <si>
    <t>Tarihi Kentlerde Ekolojik Planlama Standartları: İstanbul Ve Viyana Üzerine Karşılaştırmalı Bir Çalışma</t>
  </si>
  <si>
    <t>Al-Ti-C Tane Küçültücülerin Elementel Karbon Yöntemi İle Üretimi Ve Farklı Alüminyum Alaşımlarında Performans Etkilerinin İncelenmesi</t>
  </si>
  <si>
    <t>Otomotiv Fren Disk Tasarımı İçin Isı Transfer Karakteristiği İncelenmesi</t>
  </si>
  <si>
    <t>Dilovası Bölgesi Civarındaki Dökümhanelerden Kaynaklanan Çok Klorlu Bifenil Konsantrasyonlarının Calpuff İle Modellenmesi</t>
  </si>
  <si>
    <t>Tarihi Kent Merkezinde Kentsel Dönüşümün Sosyo Mekansal Etkileri</t>
  </si>
  <si>
    <t>Atıksulardaki Boyarmaddelerin Biyoadsorbanlar İle Tutuklanması</t>
  </si>
  <si>
    <t>Sürdürülebilir Çevre Uygulamalarında Yeşil Alan Sisteminin Kentsel Tasarım İle Entegrasyonu</t>
  </si>
  <si>
    <t>Emniyetle İlgili Asansör Uygulamalarında Bir Elektronik Kartın Tasarımı Ve Güvenilirlik Analizi</t>
  </si>
  <si>
    <t>Parametrik Gemi Formu Dizaynı Ve Stabilite Kayıplarına Karşı Optimizasyonu</t>
  </si>
  <si>
    <t>Konumlandırma Ve Haritalama Algoritmalarında Makine Öğrenmesi Ve Parçacık Filtrelerinin Kullanılması</t>
  </si>
  <si>
    <t>Yolcu Minibüsünde Termal Konfor Şartlarının Sağlanması Üzerine Teorik Ve Deneysel Çalışma</t>
  </si>
  <si>
    <t>Bilim Kurgu Sinemasında Yaratılmış Kurgusal/Mekânsal Çevre Üzerine İnceleme.</t>
  </si>
  <si>
    <t>Branş Öğretmenlerinin Bilişim Teknolojileri Öğretmenlerine Yönelik Mesleki Metaforik Algıları Ve Bu Algıların Çeşitli Değişkenlerle İlişkileri</t>
  </si>
  <si>
    <t>Tarihi Kent Dokusunda Kamusal Alan Tasarımı Bursa Hanlar Bölgesi Örneğinde Uygulanabirliğinin İncelenmesi</t>
  </si>
  <si>
    <t>Filmlerde Kullanılan Mimari Mekânların Sinematik Dönüşümü: Distopya Filmleri Örneği</t>
  </si>
  <si>
    <t>Kentsel Kıyı Planlaması Ve Tasarımında Kıyı Tasarım Rehberinin Rolü: İstanbul Maltepe Örneği</t>
  </si>
  <si>
    <t>Bir Liman Sahası Zemin Araştırmaları Ve Dolgu İyileştirme Projesi Kapsamında Veritabanı Uygulaması</t>
  </si>
  <si>
    <t>Geniş Açıklıklı Tek Tabakalı Uzay Kafes Ahşap Sistemler</t>
  </si>
  <si>
    <t>Nanokaplamaların Hazırlanması Ve Özelliklerinin İncelenmesi</t>
  </si>
  <si>
    <t>Bamyanın Kurutma Ve Su Alma Özelliklerinin Belirlenmesi</t>
  </si>
  <si>
    <t>Duvar Ve İhtimalleri</t>
  </si>
  <si>
    <t>Kırsal Soylulaşma Ve Turizm: İzmir Karaburun Örneği</t>
  </si>
  <si>
    <t>Kütahya Tavşanlı Yerleşiminde Geleneksel Konut Mimarisi, Koruma Sorunları</t>
  </si>
  <si>
    <t>Ağır Ticari Araçlarda Radyatör Kapasitesinin Deneysel Olarak Tayini</t>
  </si>
  <si>
    <t>Endüstriyel Yapılarda Kullanıcı Sağlığının İç Ortam Koşulları Bağlamında İrdelenmesi</t>
  </si>
  <si>
    <t>Orta Ve Üst Gelir Grubuna Yönelik Toplu Konutlarda Kullanıcı Memnuniyeti Farklarının Karşılaştırılması: İstanbul Örneği</t>
  </si>
  <si>
    <t>Bazı Stokhastik Diferensiyel Denklemlerin Çözümleri Ve Kararlılığının Bilgisayar Cebri İle Analizi</t>
  </si>
  <si>
    <t>Antalya İli Muratpaşa İlçesi 366 Ada 20 Parselde Bulunan Sivil Mimarlık Örneğinin Korunması Üzerine Öneriler</t>
  </si>
  <si>
    <t>Stadyumlarda Uygun Akustik Ortamın Oluşturulması Bağlamında Genel İlkelerin Belirlenmesi</t>
  </si>
  <si>
    <t>Tarihsel Ve Kültürel Katmanların Kıyıya Yansıması: Tuzla Örneği</t>
  </si>
  <si>
    <t>Lpg Kontrol Parametreleriyle Performans Ve Emisyon Değişimlerinin İzlenmesi</t>
  </si>
  <si>
    <t>Dünya Miras Alanlarından Zeyrek Camii Ve Çevresi Koruma Alanının Aydınlatma Yönünden İncelenmesi</t>
  </si>
  <si>
    <t>Kentsel Dönüşüm Projelerinin Yerellikle İlişkisi Ve Enerji Korunumuna Etkisi: Diyarbakır Örneği</t>
  </si>
  <si>
    <t>Rüzgar Enerjisi Planlamasında Farklı Bilimsel Yöntemlerin Analizi</t>
  </si>
  <si>
    <t>Maleik Anhidrit Kopolimerlerinin Çeşitli Ph Ve Ortamlarda İncelenmesi</t>
  </si>
  <si>
    <t>Mimar Sinan Yapısı Menzil Külliyelerinden Sokulu Mehmet Paşa Külliyesi Ve Kanuni Sultan Süleyman Külliyesinin İncelenmesi</t>
  </si>
  <si>
    <t>Bir Ofis Binasında Kullanıcıların Varlık Modelleri İle Priz Yükleri Arasındaki Karşılıklı İlişkinin Araştırılması</t>
  </si>
  <si>
    <t>İstanbul Kent Dokusunda 20. Yüzyıl Mimarlığına Ait Bir Örnek; 4. Levent Toplu Konutları Ve Korunmasına Yönelik Öneriler</t>
  </si>
  <si>
    <t>Konya Kilistra Köyü Geleneksel Konutlarının Yapım Teknikleri Ve Malzemesi</t>
  </si>
  <si>
    <t>Ses Kayıt Stüdyolarında Düşey Ve Yatay Bölücülerin Kesit Özelliklerinin Belirlenmesi İçin Bir Yaklaşım</t>
  </si>
  <si>
    <t>Tarihi Güzergahın Bir Koruma Yöntemi Olarak Kültürel Rotaya Dönüştürülmesi, İznik Gölü Güney Kıyısı, Nıkaıa (İznik) - Kıos (Gemlik) Yolu</t>
  </si>
  <si>
    <t>Eyüpsultan Semti Sıbyan Mektepleri Ve Yeniden İşlevlendirilmesi – Rami Mehmet Paşa Sıbyan Mektebi Örneği</t>
  </si>
  <si>
    <t>Gömülü Yapıların Sismik Analizi</t>
  </si>
  <si>
    <t>Akıllı Şebekelerin Mikro Güneş Santralleri İle İlgili Entegrasyonu</t>
  </si>
  <si>
    <t>Mikrobiyal Biyotransformasyon İle Biyoaktif Bileşiklerin Sentezleri</t>
  </si>
  <si>
    <t>Otomotiv Sektöründe Koltuk Döşeme Tasarımında Maliyet Optimizasyonu</t>
  </si>
  <si>
    <t>Otonom Mobil Robotların Pekiştirmeli Öğrenme İle Kontrolü</t>
  </si>
  <si>
    <t>Zihinsel Mekanın Biyoteknolojik Gelişmeler Aracılığıyla Gerçek Zamanlı Temsili</t>
  </si>
  <si>
    <t>Ortak Kullanım Alanlarındaki Tuvaletlerin Kullanıcı Konforu Açısından Değerlendirilmesi</t>
  </si>
  <si>
    <t>Mimari Yapım Tekniklerinin Dijital Üretim Teknolojileri İle Geliştirilmesi</t>
  </si>
  <si>
    <t>Şeker Fabrikaları</t>
  </si>
  <si>
    <t>Mardin Firdevs Kasrı İçin Restorasyon Ve Yeniden Kullanım Önerisi</t>
  </si>
  <si>
    <t>Geleneksel Ve Alternatif Eğitim Sistemlerinde Mekan Organizasyonlarının İlköğretim Çağındaki Çocukların Mekan Gereksinimlerine Göre Yorumlanması</t>
  </si>
  <si>
    <t>Glikoz, Glikolize Hemoglobin Ve Glokolize Albüminin Gerçek Zamanlı Ölçümlerinin Sağlanması Amacıyla Potansiyometrik Yeni Bir Borat Seçici Biyosensörünün Geliştirilmesi</t>
  </si>
  <si>
    <t>Elektronik Belge Yönetim Sistemi Kullanımında Etkili Olan Faktörlerin Teknoloji Kabul Modeli İle İncelenmesi Ve Uygulanması</t>
  </si>
  <si>
    <t>Bodrum Yarımadası Geleneksel Konut Mimarisi Ve Sakız Tipi Evler'İn Mimari Özellikleri</t>
  </si>
  <si>
    <t>Diabetik Hastalarda Sessiz Kalp Hastalığı Başlangıcında Mikro Rna Lar Ve N-Terminal Pro-B Tip Nariütetik Peptidlerin Önemi</t>
  </si>
  <si>
    <t>Kendi Kendini Onaran Polimerlerin Sentezi Ve Onarım Mekanizmasının İncelenmesi</t>
  </si>
  <si>
    <t>Büyük Verilerin Uyarlamalı Modellenmesi Ve Stokastik Optimizasyonu</t>
  </si>
  <si>
    <t>İnsansız Hava Aracı Görüntülerinden Bina Çatılarının Üç Boyutlu Çıkarımı</t>
  </si>
  <si>
    <t>Alüminyum Matrisli Grafen Kompozitlerin Kuru Sürtünmeli Aşınma Özelliklerinin Deneysel Olarak İncelenmesi</t>
  </si>
  <si>
    <t>Değişken Hızlı Ac Elektrik Motoru İle Tahrik Edilen Elektro-Hidrolik Yük Algılamalı Bir Abkant Presin Dinamik Performans Analizi</t>
  </si>
  <si>
    <t>Kentsel Korumada “Yerin Ruhu” Kavramı Ve Şanlıurfa Kenti Koruma Sorunları</t>
  </si>
  <si>
    <t>Kültür, Kıyı Kültürü Ve Kıyı Mekânı İlişkisi</t>
  </si>
  <si>
    <t>Uçaksavar Namluları Üretim Sürecinin İyileştirilerek, Namlu Performansının Arttırılması Ve Üretimdeki Firelerin Azaltılması</t>
  </si>
  <si>
    <t>Kamusal Alanlar İçin Karar Alım Süreçleri Ve İktidarların Yaklaşımları: Müzakere Mi Mücadele Mi</t>
  </si>
  <si>
    <t>Çok Eksenli Endüktif Mesafe Sensörü Tasarımı Ve Uygulanması</t>
  </si>
  <si>
    <t>Blok Temelli Programlama Yapılan Web Sitelerin Göz İzleme Tekniği İle Kullanılabilirlik Analizi</t>
  </si>
  <si>
    <t>Kentsel Dönüşüm İle Yeniden Yapılan Binalarda Kullanıcılar Açısından Oluşan Farklar; Kadıköy Ve Ümraniye Karşılaştırması</t>
  </si>
  <si>
    <t>Fatih İlçesi İmrahor Mahallesinde Tarihi Çevre Koruma Çalışması</t>
  </si>
  <si>
    <t>Yapı Sistemlerinde İnterval Analiz Yöntemi</t>
  </si>
  <si>
    <t>Kütahya, Saray Ve Mecidiye Mahallelerinde Geleneksel Konut Mimarisi Ve Koruma Sorunları</t>
  </si>
  <si>
    <t>Organik Madde Gideriminde Karıştırıcı Tasarımının Adsorpsiyon Performansına Olan Etkisinin Hesaplamalı Akışkanlar Dinamiği Metodu İle İyileştirilmesi</t>
  </si>
  <si>
    <t>Farklı Kurutma Yöntemleri İle Zencefilin Kurutulması Ve Bazı Kalite Özelliklerinin İncelenmesi</t>
  </si>
  <si>
    <t>Erken Cumhuriyet Dönemi’Nde Sanayileşmenin Kentsel Gelişime Etkisi: Karabük Örneği</t>
  </si>
  <si>
    <t>3B Baskılı Düzlemsel Olmayan Mikroşerit Yama Anten Tasarım Ve Gerçekleştirimi</t>
  </si>
  <si>
    <t>Samsun İli Bafra İlçesi Sivil Mimarlık Örneklerinin İncelenmesi Koruma Sorunlarının Belirlenmesi Ve Koruma Önerisi</t>
  </si>
  <si>
    <t>Kurşun Kalsiyum Bazlı Izgara Alaşımlarının Korozyon Dayanımına Kalay Ve Baryum Etkilerinin İncelenmesi</t>
  </si>
  <si>
    <t>Sensör Füzyonu Algoritmaları İle Açısal Konum Referans Sistemi Tasarımı</t>
  </si>
  <si>
    <t>Daneli Katkılarla Güçlendirilmiş Kil Numunelerinin Dinamik Özelliklerinin Deneysel Olarak Araştırılması</t>
  </si>
  <si>
    <t>Araç Rotalama Problemi Ve Bir Uygulama Çalışması</t>
  </si>
  <si>
    <t>Eksenel Akılı Kalıcı Mıknatıslı Motor Tasarımı Ve Yapay Sinir Ağlarıyla Optimizasyonu</t>
  </si>
  <si>
    <t>Dondurma Üretiminde Stabilizör Olarak Dekstran, Ksantan Ve Guar Gamın Kullanılmasının Dondurmanın Kalite Özelliklerine Etkisi</t>
  </si>
  <si>
    <t>1.5L Dizel Motorlar İçin Motor Bağlantı Ve Askı Braketi Tasarımı Ve Analizi</t>
  </si>
  <si>
    <t>Osmanlı Döneminde Anadolu Ve İstanbul Asitaneleri</t>
  </si>
  <si>
    <t>Hata Sınıf Değeri Uzun Ve Hassas Akım Transformatörleri</t>
  </si>
  <si>
    <t>Üsküdar İlçesi Ambalaj Atıklarının Yönetimi, Çevre Ve Maliyet Analizlerinin Belirlenmesi</t>
  </si>
  <si>
    <t>Kapalı Alan Konum Belirleme Uygulaması</t>
  </si>
  <si>
    <t>Omurga Kavramı Ve Kentin Omurgasına Erişim</t>
  </si>
  <si>
    <t>Enerji Potansiyeline Göre Türkiye’Nin Hibrit Rüzgar Ve Güneş Haritasının Oluşturulması Ve 1 Mw Hibrit Enerji Santrallerinin Maliyet Analizi</t>
  </si>
  <si>
    <t>Eksenel Yüklü Tel Demet Ve Halatların Çap-Tel İlişkilerinin Karşılaştırılması</t>
  </si>
  <si>
    <t>Kentsel Mekanlarda Yayalaştırma Ve Bina Cephelerinin Yenilenmesi: Samsun Çiftlik Caddesi Örneği</t>
  </si>
  <si>
    <t>Ekşi Hamurdan Mayaların İzolasyonu Ve Teknolojik Özelliklerinin Belirlenmesi</t>
  </si>
  <si>
    <t>Pafloganya`Dan Ilgaz`A Dini Ve Sivil Mimarlık</t>
  </si>
  <si>
    <t>Polimerde Dağıtılmış Sıvı Kristal Kompozitler Ve Ters Gaz Kromatografi Metoduyla Yüzey Özelliklerinin İncelenmesi</t>
  </si>
  <si>
    <t>Endüstri Mirası Olarak Türkiye’Deki Eski Demiryolu Yapıları</t>
  </si>
  <si>
    <t>Sivas Ve Çevresindeki Tarihi Konaklama Yapıları, Günümüz Durumları Ve Yeniden İşlevlendirme Sorunları</t>
  </si>
  <si>
    <t>Provenans Kullanılarak Sosyal Medya Yazılımlarında Bılgı Kırlılığının Ve Telıf Hakları İhlallerının Tespıtı Içın Yöntemler Gelıştırılmesı</t>
  </si>
  <si>
    <t>Kentsel Mekanda Tarihi Çeşmelerin Dönüşümü; Beyoğlu Örneği</t>
  </si>
  <si>
    <t>Yapay Sinir Ağları Ve Karar Ağaçları Modelleri İle İşletmelerin Finansal Başarısızlıklarının Tahminlenmesi</t>
  </si>
  <si>
    <t>Otomobil Kullanımının Sokak Mekanında Yarattığı Değişimin İncelenmesi</t>
  </si>
  <si>
    <t>Derin Öğrenme İle Debi Tahmini</t>
  </si>
  <si>
    <t>İzmir İli, Bergama İlçesi, Doğancılar, Çitköy Ve Ferizler Köyündeki Geleneksel Yapıların Mimari Özellikleri Ve Koruma Sorunlarına Yönelik Bir Araştırma</t>
  </si>
  <si>
    <t>Plastik Malzemelerde Ortogonal Kesme Modeli</t>
  </si>
  <si>
    <t>Park Et- Devam Et Tesislerinde Erişilebilirlik Problemlerinin İncelenmesi: İstanbul Örneği</t>
  </si>
  <si>
    <t>Reklamlar Üzerinden Konut Piyasasındaki Değişimin İncelenmesi</t>
  </si>
  <si>
    <t>İstanbul'Daki Avlulu Yapılar</t>
  </si>
  <si>
    <t>Konut Sektörüne Devlet Müdahalesi, Emlak Konut Gyo Hasılat Paylaşımı Yöntemi</t>
  </si>
  <si>
    <t>Diyarbakır Suriçi`Ndeki Camilerin Yapay Aydınlatma Düzenlerinin İncelenmesi</t>
  </si>
  <si>
    <t>Metal-Metal Bağlanmasında Nitril Bütadien Kauçuk Ve Nitro Selüloz Esaslı İki Bileşenli Yapıştırıcının Geliştirilmesi</t>
  </si>
  <si>
    <t>Konsept Aşamasında Üretilen Görsellerin Mimari Temsildeki Başarılarının Uygulanmış Yarışma Projeleri Üzerinden İncelenmesi</t>
  </si>
  <si>
    <t>Histopatolojik Görüntüler Hücre Bölütleme İçin Çoklu Örnekli Öğrenme</t>
  </si>
  <si>
    <t>Enine Takviyenin Kirişler Üzerindeki Davranışının İncelenmesi</t>
  </si>
  <si>
    <t>Kullanım Dönüşümleri Ve Çevre Psikolojisi Ara Kesitinde Ortaya Çıkan Mekan Algısı</t>
  </si>
  <si>
    <t>Evsel Katı Atık Toplam Ve Bertaraf Maliyetlerinin Bölgesel Bazda Belirlenmesi</t>
  </si>
  <si>
    <t>Endüstriyel Bir Tesisin Enerji Verimliliğinin Artırılması İçin Teorik Ve Deneysel Bir Yaklaşım Geliştirilmesi</t>
  </si>
  <si>
    <t>İstanbul’Da Endüstri Alanlarının Değişimi Ve Bomonti / Şişli Örneğinde Mekansal Bir İnceleme</t>
  </si>
  <si>
    <t>Kent İçi Ulaşım Aktarma Merkezlerinin Tasarım Yaklaşımları Üzerine Bir İnceleme</t>
  </si>
  <si>
    <t>Tankerler İçin Balast Suyu Arıtma Sistemi Entegrasyonu Ve Yaşam Döngüsü Performans Analizi</t>
  </si>
  <si>
    <t>İstanbul Büyükşehir Belediyesinde Kurumsal Mimari Bakış Açısıyla Dijital Dönüşüm</t>
  </si>
  <si>
    <t>Turgut Cansever Ve Henri Lefebvre Felsefeleri Üzerine Sorgulama: Yaşanan Mimari Ve Yaşanan Mekân</t>
  </si>
  <si>
    <t>Kentsel Mekanın Fiziksel Ve Sosyal Çeşitlilik Bağlamında İncelenmesi: Kayseri- Mete Caddesi Örneği</t>
  </si>
  <si>
    <t>Metal Kaplama Sanayi Karma Atıksuyunda Elektrokoagülasyon /Flokülasyon Yöntemi İle Bakır Ve Nikel Giderim Performanslarının Pilot Ölçekli Tesis Üzerinde Araştırılması</t>
  </si>
  <si>
    <t>Değişen Çalışma Koşullarının Ofis Yapılarına Ve Çalışma Mekanlarına Yansımaları</t>
  </si>
  <si>
    <t>1.2738 Çeliğinin Frezelenmesinde Değişken Kesme Hızı Ve Değişken İlerleme Yönteminin Takım Ömrü Üzerine Etkisi</t>
  </si>
  <si>
    <t>Derin Öğrenme İle Sürüş Kalitesi Ölçme, Değerlendirme</t>
  </si>
  <si>
    <t>Dağıtık Üretim Tesislerinin Elektrik Şebekesine Etkilerinin İncelenmesi</t>
  </si>
  <si>
    <t>İstanbul’Daki Tanımsız Kentsel Açık Alanların Kavramsallaştırılması</t>
  </si>
  <si>
    <t>İl Kapsamında Korunan Alanların Rekreasyon Faaliyetlerinin Ve Ulaşım İlişkilerinin İncelenmesi Ve Rekreasyon Potansiyellerinin Belirlenmesi – Bolu İli Örneği</t>
  </si>
  <si>
    <t>Bazı Modifiye Polimer Ve Polimer Kompozitlerinin Sensör Özelliklerinin İncelenmesi</t>
  </si>
  <si>
    <t>Kimyasal Tankerler İçin Maliyet Ve Kâr Optimizasyonu</t>
  </si>
  <si>
    <t>Kentsel Akarsu Kıyıları Ve Kamusal Alan Yaratma Potansiyeli</t>
  </si>
  <si>
    <t>Yeşil Bina Sertifika Sistemlerinde Aydınlatma Konusunun İncelenmesi</t>
  </si>
  <si>
    <t>Endüstri Devrimi Sonrası Yeni Yapı Tipleri Olarak Avrupadaki Oteller Londra &amp; Parıs Örnekleri</t>
  </si>
  <si>
    <t>Selimiye Hamamı'Nın Korunması Ve Yeniden Kullanılmasına Yönelik Öneriler</t>
  </si>
  <si>
    <t>Kıyı Alanları Ve Mesire Alanlarının Niteliksel Ve Niceliksel Bağlantısının Sorgulanması; Küçüksu Ve Göksu Mesire Alanları</t>
  </si>
  <si>
    <t>Kıvrılmış Borularda Isı Taşınım Katsayısının Belirlenmesi</t>
  </si>
  <si>
    <t>Katkılı Silika Aerojel Üretimi, Karakterizasyonu Ve Antibakteriyel Özelliklerin İncelenmesi</t>
  </si>
  <si>
    <t>Eğitim Yapılarının Üretimi Ve Bakım Onarım İhtiyaçlarının Değerlendirilmesi</t>
  </si>
  <si>
    <t>Kinetik Mimarlık Bağlamındaki Hareketli Yapı Uygulamalarının İnceleme Ve Değerlendirmeleri</t>
  </si>
  <si>
    <t>Eskişehir İli, Mahmudiye İlçesi'Ndeki Bazı Kırım Tatar Köylerindeki Yapıların Mimari Özellikleri Ve Koruma Sorunlarına Yönelik Bir Araştırma</t>
  </si>
  <si>
    <t>Ramanujan-Nagell Denklemi Ve Bazı Genellemeleri</t>
  </si>
  <si>
    <t>Üçüncü Basamak Hastane Binalarında Sosyal Alanları Ve Bekleme Alanlarının Çağdaş Tasarım Kriterlerinin İncelenmesi;İstanbul Örneği Alan Çalışması</t>
  </si>
  <si>
    <t>Veri Tabanı Sistemlerinde Dinamik Veri Kopyalama Ve Dağıtımı</t>
  </si>
  <si>
    <t>Retinal Fundus Görüntülerinde Sınıflandırma Ve Bölütleme</t>
  </si>
  <si>
    <t>Alçak Yörünge Uyduları İçin X-Bant Eş Akılı Mikroşerit Anten Tasarımı</t>
  </si>
  <si>
    <t>Kömür Ve Biyokütlenin Birlikte Yakılmasından Oluşan Küllerin Analizi</t>
  </si>
  <si>
    <t>Yazd`İn Geleneksel Evlerinin Mimarı Ve Yapısal Özelliklerinin Sürdürülebilirlik Çerçevesinde İncelenmesı</t>
  </si>
  <si>
    <t>İstanbul'Da Türlerarası Çizelge Entegrasyonun İncelenmesi</t>
  </si>
  <si>
    <t>Yemekhane Mutfaklarında Oluşan Organik Atıkların Miktar Ve Niteliğinin Hesaplanması Ve Yönetimi</t>
  </si>
  <si>
    <t>Kule Sistemleri Yükseliş Ekseninin Akıllı Algoritmalarla Dinamik Olarak Modellenmesi Ve Kontrolü</t>
  </si>
  <si>
    <t>Tıbbi Atık Lojistiğinde İş Sağlığı Ve Güvenliği Süreçlerinin İyileştirilmesi</t>
  </si>
  <si>
    <t>Üç Fazlı Asenkron Motor Tasarımının Skaler Kontrol İçin Optimize Edilmesi</t>
  </si>
  <si>
    <t>Çamaşır Makinesi Tahrik Grubunun Esnek Cisim Modelinin Kurulması Ve Deneysel Olarak Doğrulanması</t>
  </si>
  <si>
    <t>Akseki (Antalya) Sarıhacılar Köyü Özgün Yapısal Ve Mimari Özelliklerin Belirlenmesi</t>
  </si>
  <si>
    <t>El Hareketi Tespit Sensörü Tasarımı</t>
  </si>
  <si>
    <t>Yapı Bilgi Sistemi (Bım) Tasarımlarının İş Planı Ve Maliyet Kontrol Amaçlı Kullanımı</t>
  </si>
  <si>
    <t>Osmanlı Mimarisinde Tabhane Mekânı Ve Yapılarının Tarihsel Gelişim Süreci; Fatih Külliyesi Tabhanesi’Nin Koruma Sorunları Ve Yeniden Kullanımı Üzerine Bir Araştırma</t>
  </si>
  <si>
    <t>Farklı Sektörlerde Robotik Süreç Otomasyon Potansiyellerinin İstatistiksel İncelenmesi</t>
  </si>
  <si>
    <t>Endüstriyel Olarak Kullanılabilecek Lipazları Kodlayan Genlerin Zeytinden (Olea Europaea L.) Klonlanması</t>
  </si>
  <si>
    <t>Farklı İlklim Bölgelerinde Ofis Yapılarının Isıtma Ve Soğutma Yükleri Açısından Karşılaştırılması</t>
  </si>
  <si>
    <t>Düşük Enerji Seviyelerindeki Dipol Modların Dağılım Fonksiyonlarının Deneysel Olarak İncelenmesi</t>
  </si>
  <si>
    <t>Gnss Gözlem Süresine Bağlı Deformasyon Parametrelerinin Belirlenmesi</t>
  </si>
  <si>
    <t>Kampanya Gps Zaman Serilerinin Spektral Analizi</t>
  </si>
  <si>
    <t>Asetilen Üretimi Yapılan Bir Tesiste Tehlike Ve İşletilebilirlik Analizinin Uygulanması</t>
  </si>
  <si>
    <t>Alternatif Yöntemler İle Grafen Üretimi Ve Uygulamaları</t>
  </si>
  <si>
    <t>Lise Öğrencisi Ergenlerin Akademik Erteleme Davranışları Ve Internetin Cazibesi İle Akademik Başarıları Arasındaki İlişki</t>
  </si>
  <si>
    <t>Su Altında Yapı Tasarımı Etkinlikleri Ve Mimarın Rolü</t>
  </si>
  <si>
    <t>Yazılım Test Süreci Metrikleri</t>
  </si>
  <si>
    <t>Türkiye’Nin Farklı Bölgelerinde Üretilen Arı Polenlerinin Kimyasal Özelliklerinin Belirlenmesi</t>
  </si>
  <si>
    <t>Yüksek Basınçlı Uçak Motorlarının Fan Kanat Titreşimlerinin Azaltılması Ve Testleri</t>
  </si>
  <si>
    <t>Duyarlı Sistemler Ve İnsan Etkileşimli Ortamlar</t>
  </si>
  <si>
    <t>Yapım Firmalarının Kurumsal Risk Yönetimi Olgunluğunda Risk Yöneticisinin Rolü</t>
  </si>
  <si>
    <t>Yapım Projelerinde Sözleşme Yönetimi Ve Süreçlerinin İncelenmesi, Soyak Kristalkule Örneği</t>
  </si>
  <si>
    <t>Pestisitin Çevreye Dağılımının İzlenmesi Ve Perlit Destekli Tio2 İle Fotokatalitik Degredasyonu</t>
  </si>
  <si>
    <t>Kentsel Dönüşümde Konut Politikaları Ve Karar Alma Süreçleri: Türkiye Ve Rusya'Nın Karşılaştırmalı Analizi.</t>
  </si>
  <si>
    <t>Kamu Personellerin Elektronik İmza Kullanımını Etkileyen Faktörlerin Teknoloji Kabul Modeli İle İncelenmesi</t>
  </si>
  <si>
    <t>Ulusal Kimlik Ve Bellek Tasarımı; Üsküp 2014 Projesine Eleştirel Bir Bakış</t>
  </si>
  <si>
    <t>Türkiye Elektrik Piyasasında Makine Öğrenme Teknikleri İle Referans Fiyat Tahmini</t>
  </si>
  <si>
    <t>Acil Barınma Sorunlarının Analizi Ve Çözüm Yöntemleri</t>
  </si>
  <si>
    <t>Duvar Arkası Görüntüleme İçin Çok Bantlı Rf Ön Uç Sistem Tasarımı</t>
  </si>
  <si>
    <t>Tam Dalga Lidar Verileri İle Bitki Örtüsü Sınıflandırma Olanaklarının Araştırılması</t>
  </si>
  <si>
    <t>Hibrit Şekillendirme Tekniği İle Hidroksiapatit Biyoseramiklerin Tasarımı Ve Geliştirilmesi</t>
  </si>
  <si>
    <t>Paslanmaz Çeliklerin Plazma Kesiminde İşlem Parametreleri Etkileri</t>
  </si>
  <si>
    <t>Derin Öğrenme Teknikleri İle Bilgisayar Ağlarında Güvenliğe Yönelik Anomali Tespiti</t>
  </si>
  <si>
    <t>Bilişim Teknolojileri Ve Yazılım Dersine İlişkin Sorunların Öğretim, Yönetim Ve Akademik Yaklaşım Boyutlarıyla Değerlendirilmesi</t>
  </si>
  <si>
    <t>Kalgon Esaslı Polimerin Termodinamik Ve Yüzey Özelliklerinin Ters Gaz Kromatografisi İle Belirlenmesi</t>
  </si>
  <si>
    <t>Gps’İn Konum Doğruluğunun Araştırılması</t>
  </si>
  <si>
    <t>Yersel Lazer Tarama Yöntemiyle Elde Edilen Nokta Bulutlarının İşlenmesi Ve Segmentasyon Yöntemlerinin İncelenmesi</t>
  </si>
  <si>
    <t>Nano Mos2 Katkılı Bitkisel Esaslı Kesme Sıvısı Kullanarak Minimum Miktarda Yağlama İle Paslanmaz Çeliğin Frezelenmesinde İşlem Parametrelerinin Talaş Kaldırma Performansına Etkilerinin İncelenmesi</t>
  </si>
  <si>
    <t>Değişmeli Olmayan Halkalar Üzerinde Tanımlı Lineer Kodlar Ve Uygulamaları</t>
  </si>
  <si>
    <t>Farklı Ölçekli Kentsel Dönüşüm Uygulamalarında İyelik Hakkı Ve Korunabilirliği "İstanbul Örneği"</t>
  </si>
  <si>
    <t>Patent Analizi Ve Veri Madenciliğine Dayalı Teknoloji Değerlendirmesi</t>
  </si>
  <si>
    <t>Bankacılık Uygulamalarında İş Analizi Uygulama Teknikleri</t>
  </si>
  <si>
    <t>Toplu Taşıma Aracı Titreşimlerinin Analizi Ve Yarı-Aktif Kontrolü</t>
  </si>
  <si>
    <t>Tekil Olmayan İntegrallerin Monte Carlo Metodu İle Çözümü</t>
  </si>
  <si>
    <t>Metalik Malzemelerin Oda Sıcaklığında Yapılan Çekme Testlerinde A Ve B Tipi Ölçüm Belirsizliklerinin Karşılaştırılması</t>
  </si>
  <si>
    <t>Fırkateyn Enerji Sistem Analizi Ve Referans Enerji Sisteminin Geliştirilmesi</t>
  </si>
  <si>
    <t>Bir Gemiye Ait Pervane-Şaft Burulma Titreşimlerinin İncelenmesi</t>
  </si>
  <si>
    <t>Poliüre Kaplı Metal Levhaların Mekanik Özelliklerinin İncelenmesi Ve Zırh Malzemesi Olarak Kullanımının Değerlendirilmesi</t>
  </si>
  <si>
    <t>İmmobilize Enzimlerin Ölçeklenebilir Reaktör Sistemlerinde Uygulaması</t>
  </si>
  <si>
    <t>Makine Öğrenmesi Yöntemleri Ve Eğitim Verisi Üzerine Bir Uygulama: Tımss-2015 Türkiye Örneği</t>
  </si>
  <si>
    <t>İçten Yanmalı Motorlarda Geliştirme Testlerinde Kullanılan Silindir İçi Basınç Sensörlerinin Doğruluğunu Kontrol Eden Sanal Motor Modeli Oluşturulması</t>
  </si>
  <si>
    <t>İstanbul Örneğinde Itrf-Ed50 Dataları Arasında Bölgesel Dönüşüm Parametrelerinin Belirlenmesi</t>
  </si>
  <si>
    <t>Dünya Miras Listesi Adaylık Sürecinde Mardin Kentsel Sit Alanı’Nın Kültürel Peyzaj Değerleri Ve Taşıdığı Riskler</t>
  </si>
  <si>
    <t>Bir Alt Uzuv Rehabilitasyon Robotunun Kuvvet Ve Konum Kontrolü</t>
  </si>
  <si>
    <t>İstanbul’Daki Mimar Sinan Dönemi Medreseleri Ve Üsküdar Mihrimah Sultan Medresesi Koruma Ve İşlev Sorunları</t>
  </si>
  <si>
    <t>Bazı Manyetik Yarıiletkenlerin Elektronik Ve Manyetik Özellikleri Üzerinde Sıkıştırma Ve Genleşme Etkisinin İncelenmesi</t>
  </si>
  <si>
    <t>Tip-2 Bulanık Küme Yaklaşımı İle Kusur Sayısı Kontrol Diyagramlarının Tasarımı Ve Otomotiv Sektöründen Bir Gerçek Hayat Uygulaması</t>
  </si>
  <si>
    <t>Tetrazin Fonksiyonlu Polimerlerin Doğrudan Hazırlanması Ve Bu Polimerlerin Yüksek Hızlı Biyortogonal Reaksiyonlarda Etkinliğinin İncelenmesi</t>
  </si>
  <si>
    <t>Llc Rezonans Dönüştürücü Tasarımı</t>
  </si>
  <si>
    <t>Yazılım Ölçütleri Üzerinden Beyin Metot Ve Beyin Sınıf Kod Kusurlarının Tespiti</t>
  </si>
  <si>
    <t>İnsansız Hava Araçlarında Görüntü İşleme Tabanlı İniş Sistemi Tasarımı Ve Gerçeklemesi</t>
  </si>
  <si>
    <t>Hidro Elektrik Santrallerinin Çevre İle Olan İlişkilerinin İncelenmesi</t>
  </si>
  <si>
    <t>Adsorbent Olarak Aljinat Hidrojellerinin Eldesi İçin Kontra Hazırlama Yöntemlerinin Kullanılması</t>
  </si>
  <si>
    <t>Farklı Endüstriyel Kalıp Ve İskele Sistemlerinin Tasarımı Ve Uygulaması</t>
  </si>
  <si>
    <t>Betonarme Kolonların Doğrusal Olmayan Sonlu Eleman Çözümlemeleri</t>
  </si>
  <si>
    <t>Farklı Kurutma Koşullarının Kızılcığın Kuruma Süresine Ve Kalitesine Etkisi</t>
  </si>
  <si>
    <t>Konut Üretim Sürecinde Esneklik Olgusunun İrdelenmesi</t>
  </si>
  <si>
    <t>Rezonanslı Dönüştürücülerin İncelenmesi Ve Bir Llc Rezonanslı Dönüştürücü Uygulaması Gerçekleştirilmesi</t>
  </si>
  <si>
    <t>Fore Kazıklı İksalarda Plaxis İle Hesaplanan Deplasmanların Yerinde İnklinometre Ölçüm Sonuçları İle Karşılaştırılması</t>
  </si>
  <si>
    <t>Bir Ro-Ro Terminalinde Liman Faaliyetleri Kaynaklı Sera Gazı Emisyonlarının Hesaplanması</t>
  </si>
  <si>
    <t>Isı Yalıtımlı Arı Kovanı Tasarımı Ve Üretimi</t>
  </si>
  <si>
    <t>İki Boyutlu Akışa Bağlı Titreşimlerin Sayısal Analizi</t>
  </si>
  <si>
    <t>Ülkemizde Şerit Yönetiminde Kullanıcı Davranışlarının İncelenmesi</t>
  </si>
  <si>
    <t>Cherry Domatesin Kurutma Kinetiğinin Ve Bazı Kalite Kriterlerinin Belirlenmesi</t>
  </si>
  <si>
    <t>Sırbistan Novi Pazar’Da Geleneksel Konut Yapılarının Mimari Özellikleri Ve Koruma Sorunları Üzerinde Araştırma</t>
  </si>
  <si>
    <t>Binalarda Yıllık Isıtma Enerjisi İhtiyacının Kış Bahçesi Uygulaması İle Azaltılması</t>
  </si>
  <si>
    <t>Kentsel Yerleşmelerde Yer Alan Su Yapılarının Kentsel Tasarım Elemanı Olarak İrdelenmesi</t>
  </si>
  <si>
    <t>Ortaokul Yedinci Sınıf Öğrencilerinin Gıda Farkındalıklarının Belirlenmesi</t>
  </si>
  <si>
    <t>Mimarlık Eğitimi Meslek Pratiği İlişkisi, Bu İlişkinin Türkiye’De Ve Dünyada İncelenmesi Ve Türkiye İçin Bir Model Önerisi</t>
  </si>
  <si>
    <t>Bir Hastane Yapısının Farklı Deprem Yalıtım Sistemleri Kullanılarak Performansının İncelenmesi</t>
  </si>
  <si>
    <t>Klasik Osmanlı Mimarlığında Kalemişi Ve Mimari İlişkiler</t>
  </si>
  <si>
    <t>Depremde Betonarme Bina Performansının Deprem Bölgelerinde Yapılacak Binalar Hakkında Yönetmelik 2007 (Dbybhy2007) Ve Türkiye Bina Deprem Yönetmeliği 2018'E (Tbdy2018) Göre Değerlendirilmesi</t>
  </si>
  <si>
    <t>Açık Kaynak Kodlu Yazılım Eklentisi İle Üretilen İnternet Tabanlı Haritaların Mekansal Karar Destek Sistemi İle Bütünleştirilmesi</t>
  </si>
  <si>
    <t>İstanbul’Da Gürültü Eylem Planları Kapsamında Farklı Gürültü Kaynakları İçin Sıcak Noktaların Tespiti Ve Çözüm Yöntemlerinin Geliştirilmesi</t>
  </si>
  <si>
    <t>Lineer Motorlu Engelli Asansörü Tasarımı</t>
  </si>
  <si>
    <t>Nesne Tabanlı Segmentasyon Yöntemi İle Lidar Verilerinden Obje Çıkarımı</t>
  </si>
  <si>
    <t>Tekstil Sektöründe Tedarikçi Seçiminin Bulanık Mantık İle Uygulaması</t>
  </si>
  <si>
    <t>Hastanelerde Akustik Konfor Koşulları İle İlgili Ölçütlerin Belirlenmesi Ve Örnek Bir İnceleme</t>
  </si>
  <si>
    <t>Kızık Köylerinin Korunmasına Yönelik Bir Yöntem Önerisi : Alan Yönetimi Planı</t>
  </si>
  <si>
    <t>Pistonlu Tip Hava Kompresörlerinde Silindir Gömleği Ve Segman Arasındaki Sürtünme Ve Aşınmaların İncelenmesi</t>
  </si>
  <si>
    <t>Mini Kazıkların Tasarımı</t>
  </si>
  <si>
    <t>Çok Kriterli Karar Verme Yöntemleri İle Yerel Seçim Aday Belirleme Süreci Üzerine Bir Model Önerisi</t>
  </si>
  <si>
    <t>İstanbul’ Un Su Havzalarının Değişimine İlişkin Bir Çözümleme</t>
  </si>
  <si>
    <t>Fosfa-Karboran Iceren Polımerlerın Gelıstırılmesı</t>
  </si>
  <si>
    <t>Gaz Türbin Kanatçıklarının Düzensizlik Etkilerinin Cevap Yüzeyi Optimizasyonu İle İstatistiksel Olarak İncelenmesi</t>
  </si>
  <si>
    <t>Bazalt Lifli Izgara Kumaş İle Güçlendirilen Betonarme Kirişlerde Dayanım Artışlarının İrdelenmesi</t>
  </si>
  <si>
    <t>Vektörel Devirli Kodlar Ve Yapıları</t>
  </si>
  <si>
    <t>Heyelanlı Alanlarda Şev Stabilite Analizi</t>
  </si>
  <si>
    <t>Makine Öğrenmesi Teknikleriyle Kredi Başvuru Skor Kartının Oluşturulması</t>
  </si>
  <si>
    <t>Pestisit Ve Endokrin Bozucu Maddelerin Düşük Seviyelerde Eşzamanlı Tayinleri Ve Biyoerişebilirlik Seviyelerinin Belirlenmesi</t>
  </si>
  <si>
    <t>Otomatik Veri Etiketleme İle Türkçe Varlık İsmi Tanıma</t>
  </si>
  <si>
    <t>Destekli Kazılarda Stabilite Ve Yüzey Oturmalarının İncelenmesi</t>
  </si>
  <si>
    <t>Yüksek Katlı Binalarda Değişken Soğutucu Akışkan Debili Klima Sistemleri İle Fan-Coıl Sistemlerinin Ekonomik Yönden Karşılaştırılması</t>
  </si>
  <si>
    <t>Oyun Teorisi Ve Parçacık Sürü Optimizasyonu Kullanılarak Yatırım Fonu Getirilerinin Analizi</t>
  </si>
  <si>
    <t>Sürdürülebilir Tasarımda Leed Enerji Verimliliği Prensipleri Ve Uygulaması</t>
  </si>
  <si>
    <t>Gemi Şaft Yatağı Boşluğunun Yapay Sinir Ağları İle Öngörüsü Ve Havuz Bakım Planlaması</t>
  </si>
  <si>
    <t>Sürdürülebilir Kıyı Kenti Tasarımı Kriterleri Bağlamında Samandağ’In Kıyısının Kentsel Gelişiminin Değerlendirilmesi</t>
  </si>
  <si>
    <t>Enerji Üretiminin Belirlenmesinde Kullanılan Alternatif İstatistik Yöntemler Ve Uygulaması</t>
  </si>
  <si>
    <t>H˙Istopatoloj˙Ik Görüntülerde Tesp˙It Ve Sınıflandırma Nükleler˙</t>
  </si>
  <si>
    <t>Yüzen Katı Organik Damla Mikroekstraksiyon Yöntemi İle Eser Seviyelerde Analit Tayini</t>
  </si>
  <si>
    <t>Yeni Bir Yumuşak Anahtarlamalı İleri Yönlü Dc-Dc Dönüştürücünün Tasarımı Ve Uygulaması</t>
  </si>
  <si>
    <t>Düşük Maliyetli İnsansız Hava Aracı (İha) Sistemleri İle Cbs Uygulamalarına Yönelik Coğrafi Veri Toplama Olanaklarının Araştırılması</t>
  </si>
  <si>
    <t>Sayısal Yükseklik Modelleri Kullanılarak Havza Sınırlarının Belirlenmesinde Genelleştirmenin İncelenmesi</t>
  </si>
  <si>
    <t>Rüzgâr Ve Güneş Hibrit Enerji Sisteminin Bulanık Mantık İle Optimal Dizaynı</t>
  </si>
  <si>
    <t>Üsküdar İlçesi Merkez Mahallelerinde Bulunan Osmanlı Dönemine Ait Çeşmeler Ve Koruma Durumları</t>
  </si>
  <si>
    <t>Türkiye'De Kadastro Yenilenmesi Uygulamalarının İncelenmesi Ve İrdelenmesi</t>
  </si>
  <si>
    <t>Yonca (Medicago Sativa) Süspansiyon Kültürlerinde Floresans İşaretli Poli (Laktik-Ko-Glikolik) Asit Nanopartiküllerinin Hücreye Alımı Ve Dağılımının Araştırılması</t>
  </si>
  <si>
    <t>Yapay Sinir Ağları Yöntemiyle Doğalgaz Rms-A İstasyonlarının Projelendirilmesi</t>
  </si>
  <si>
    <t>Çevre İle İlgili Fen Projelerinin Ortaokul Öğrencilerinin Çevre Bilgi Ve Tutumlarına Etkisi</t>
  </si>
  <si>
    <t>Bir Alternatif Turizm Türü Olarak Termal Turizm: Bursa Tabakhaneler Bölgesinin İncelenmesi</t>
  </si>
  <si>
    <t>Kentsel Yeşil Alan Aydınlatmalarında Enerji Verimliliğinin İncelenmesine Bir Örnek: Eskişehir Bilim Sanat Ve Kültür Parkı</t>
  </si>
  <si>
    <t>Sanal Referans İstasyonu Yöntemi (Vrs) Kullanılarak Elde Edilen Yükseklik Farklarının Doğruluk Analizi</t>
  </si>
  <si>
    <t>Diferensiyel Denklemlerin Sayısal Çözümleri: Diferensiyel Quadrature</t>
  </si>
  <si>
    <t>Bir Tümör Protezi Uzatma Modülünün Tasarımı, Analizi Ve Zeki Kontrolü</t>
  </si>
  <si>
    <t>Tez Başlığı</t>
  </si>
  <si>
    <t>Elektrik Müh.</t>
  </si>
  <si>
    <t>Kimya Müh.</t>
  </si>
  <si>
    <t>Makine Müh.</t>
  </si>
  <si>
    <t>Harita Müh.</t>
  </si>
  <si>
    <t>Kontrol ve Otomasyon Müh.</t>
  </si>
  <si>
    <t>Endüstri Müh.</t>
  </si>
  <si>
    <t>Elektronik ve Haberleşme Müh.</t>
  </si>
  <si>
    <t>Metalürji ve Malzeme Müh.</t>
  </si>
  <si>
    <t>Mekatronik Müh.</t>
  </si>
  <si>
    <t>İnşaat Müh. (İngilizce)</t>
  </si>
  <si>
    <t>Gıda Müh.</t>
  </si>
  <si>
    <t>İnşaat Müh.</t>
  </si>
  <si>
    <t>Kıyı ve Liman Müh.</t>
  </si>
  <si>
    <t>Bilgisayar Müh.</t>
  </si>
  <si>
    <t>Sistem Müh.</t>
  </si>
  <si>
    <t>Çevre Müh.</t>
  </si>
  <si>
    <t>Elektrik Müh. Tezsiz Yüksek Lisans 1.Öğretim</t>
  </si>
  <si>
    <t>Matematik Müh.</t>
  </si>
  <si>
    <t>Jeodezi ve Fotogrametri Müh.</t>
  </si>
  <si>
    <t>Yabancı Uyruklu Elektrik Müh. Tezsiz Yüksek Lisans 1.Öğretim</t>
  </si>
  <si>
    <t>İnşaat Sektöründe Değer Müh.’Nin Uygulamalarla İncelenmesi</t>
  </si>
  <si>
    <t>Elektronik ve Haberleşme Müh. Tezsiz Yüksek Lisans 1.Öğretim</t>
  </si>
  <si>
    <t>Metalürji ve Malzeme Müh. (İÖ)</t>
  </si>
  <si>
    <t>Metalurji ve Malzeme Müh. Tezsiz Yüksek Lisans 2.Öğretim</t>
  </si>
  <si>
    <t>Veritabanlarının Tersine Müh. İle Web Servislerinin Otomasyonu</t>
  </si>
  <si>
    <t>Gemi İnşaatı ve Gemi Mak. Müh.</t>
  </si>
  <si>
    <t>Hava Yoğuşturmalı Kurutma Mak.nde Enerji Verimini Etkileyen Faktörlerin İncelenmesi</t>
  </si>
  <si>
    <t>Fen Bil. ve Mat. Eğitimi - Fen Bilgisi Eğitimi</t>
  </si>
  <si>
    <t>Biyomimikrinin Fen Bil. Eğitimine Uyarlanması</t>
  </si>
  <si>
    <t>Fen Bil. Dersinde Değerler Eğitiminin Uygulanabilirliğinin İncelenmesi</t>
  </si>
  <si>
    <t>Elektrik Mak. ve Güç Elektroniği</t>
  </si>
  <si>
    <t>Dr. Öğr. Üyesi Bedri KEKEZOĞLU</t>
  </si>
  <si>
    <t>Dr. Öğr. Üyesi Alper Şen</t>
  </si>
  <si>
    <t>Dr. Öğr. Üyesi Janset Dasdemir</t>
  </si>
  <si>
    <t>Dr. Öğr. Üyesi serkan kurt</t>
  </si>
  <si>
    <t>Dr. Öğr. Üyesi Umut Engin AYTEN</t>
  </si>
  <si>
    <t>Dr. Öğr. Üyesi Lale ÖZYILMAZ</t>
  </si>
  <si>
    <t>Dr. Öğr. Üyesi Türker Türker</t>
  </si>
  <si>
    <t>Dr. Öğr. Üyesi BERNA BOLAT</t>
  </si>
  <si>
    <t>Dr. Öğr. Üyesi Janset Daşdemir</t>
  </si>
  <si>
    <t>Dr. Öğr. Üyesi İlknur KÜÇÜK</t>
  </si>
  <si>
    <t>Dr. Öğr. Üyesi Janset DAŞDEMİR</t>
  </si>
  <si>
    <t>Dr. Öğr. Üyesi Meral Bayraktar</t>
  </si>
  <si>
    <t>Dr. Öğr. Üyesi Tuğçe Ercan</t>
  </si>
  <si>
    <t>Dr. Öğr. Üyesi Sennur Deniz</t>
  </si>
  <si>
    <t>Dr. Öğr. Üyesi TOGAN TONG</t>
  </si>
  <si>
    <t>Dr. Öğr. Üyesi Bora ACARKAN</t>
  </si>
  <si>
    <t>Dr. Öğr. Üyesi Zafer SAĞDIÇ</t>
  </si>
  <si>
    <t>Dr. Öğr. Üyesi Bekir ŞENER</t>
  </si>
  <si>
    <t>Dr. Öğr. Üyesi Mustafa Sinan Yardım</t>
  </si>
  <si>
    <t>Dr. Öğr. Üyesi Mustafa BAYSAL</t>
  </si>
  <si>
    <t>Dr. Öğr. Üyesi Emel Ordu</t>
  </si>
  <si>
    <t>Dr. Öğr. Üyesi Burak AKIN</t>
  </si>
  <si>
    <t>Dr. Öğr. Üyesi Ercan KOÇ</t>
  </si>
  <si>
    <t>Dr. Öğr. Üyesi İsmail NAKİR</t>
  </si>
  <si>
    <t>Dr. Öğr. Üyesi Levent UCUN</t>
  </si>
  <si>
    <t>Dr. Öğr. Üyesi ÖZGÜR AKÇALI</t>
  </si>
  <si>
    <t>Dr. Öğr. Üyesi Bekir Şener</t>
  </si>
  <si>
    <t>Dr. Öğr. Üyesi Görkem ÖZÜLKÜ</t>
  </si>
  <si>
    <t>Dr. Öğr. Üyesi UZAY YERGÜN</t>
  </si>
  <si>
    <t>Dr. Öğr. Üyesi Nihan Kahraman</t>
  </si>
  <si>
    <t>Dr. Öğr. Üyesi Engin AYÇİÇEK</t>
  </si>
  <si>
    <t>Dr. Öğr. Üyesi EDA TURAN</t>
  </si>
  <si>
    <t>Dr. Öğr. Üyesi Birgül AŞÇIOĞLU TEMİZTAŞ</t>
  </si>
  <si>
    <t>Dr. Öğr. Üyesi SEBAHAT EBRU DAŞ</t>
  </si>
  <si>
    <t>Dr. Öğr. Üyesi ŞÜKRAN ŞEKER</t>
  </si>
  <si>
    <t>Dr. Öğr. Üyesi Tamer KEPÇELER</t>
  </si>
  <si>
    <t>Dr. Öğr. Üyesi Salih Karasu</t>
  </si>
  <si>
    <t>Dr. Öğr. Üyesi Ö. Faruk TUNCER</t>
  </si>
  <si>
    <t>Dr. Öğr. Üyesi HACI İLHAN</t>
  </si>
  <si>
    <t>Dr. Öğr. Üyesi Hakan Paşa Partal</t>
  </si>
  <si>
    <t>Dr. Öğr. Üyesi Ali Osman KURUŞCU</t>
  </si>
  <si>
    <t>Dr. Öğr. Üyesi Güzin Akyıldız ALÇURA</t>
  </si>
  <si>
    <t>Dr. Öğr. Üyesi Ayfer YAZGAN</t>
  </si>
  <si>
    <t>Dr. Öğr. Üyesi Ayşe KARADAĞ</t>
  </si>
  <si>
    <t>Dr. Öğr. Üyesi Nihan KAHRAMAN</t>
  </si>
  <si>
    <t>Dr. Öğr. Üyesi Orkun Özener</t>
  </si>
  <si>
    <t>Dr. Öğr. Üyesi Melahat Bağırova</t>
  </si>
  <si>
    <t>Dr. Öğr. Üyesi Mustafa Baysal</t>
  </si>
  <si>
    <t>Dr. Öğr. Üyesi iLKNUR KÜÇÜK</t>
  </si>
  <si>
    <t>Dr. Öğr. Üyesi Süleyman ŞAKAR</t>
  </si>
  <si>
    <t>Dr. Öğr. Üyesi Ömer Özgür BOZKURT</t>
  </si>
  <si>
    <t>Dr. Öğr. Üyesi BEKİR ŞENER</t>
  </si>
  <si>
    <t>Dr. Öğr. Üyesi Muharrem MERCİMEK</t>
  </si>
  <si>
    <t>Dr. Öğr. Üyesi Banu Çelebioğlu</t>
  </si>
  <si>
    <t>Dr. Öğr. Üyesi Münevver ŞEN DAĞGÜLÜ</t>
  </si>
  <si>
    <t>Dr. Öğr. Üyesi ALİ KILIÇ</t>
  </si>
  <si>
    <t>Dr. Öğr. Üyesi Faruk TUNCER</t>
  </si>
  <si>
    <t>Dr. Öğr. Üyesi CENK BUDAYAN</t>
  </si>
  <si>
    <t>Dr. Öğr. Üyesi Ali KILIÇ</t>
  </si>
  <si>
    <t>Dr. Öğr. Üyesi Uzay YERGÜN</t>
  </si>
  <si>
    <t>Dr. Öğr. Üyesi BANU ÇELEBİOĞLU</t>
  </si>
  <si>
    <t>Dr. Öğr. Üyesi MURAT TONAROĞLU</t>
  </si>
  <si>
    <t>Dr. Öğr. Üyesi Zerrin ZERENLER ÇALIŞKAN</t>
  </si>
  <si>
    <t>Dr. Öğr. Üyesi Alperen ACAR</t>
  </si>
  <si>
    <t>Dr. Öğr. Üyesi Togan TONG</t>
  </si>
  <si>
    <t>Dr. Öğr. Üyesi İlyas İstif</t>
  </si>
  <si>
    <t>Dr. Öğr. Üyesi Kadir Erkan</t>
  </si>
  <si>
    <t>Dr. Öğr. Üyesi Şenay Atabay</t>
  </si>
  <si>
    <t>Dr. Öğr. Üyesi Ö. Faruk Tuncer</t>
  </si>
  <si>
    <t>Dr. Öğr. Üyesi KADIR ERKAN</t>
  </si>
  <si>
    <t>Dr. Öğr. Üyesi M. Salih Taci</t>
  </si>
  <si>
    <t>Dr. Öğr. Üyesi Fatih ALEMDAR</t>
  </si>
  <si>
    <t>Dr. Öğr. Üyesi Altuğ BOZKURT</t>
  </si>
  <si>
    <t>Dr. Öğr. Üyesi ERCAN KOÇ</t>
  </si>
  <si>
    <t>Dr. Öğr. Üyesi Ömer Faruk TUNCER</t>
  </si>
  <si>
    <t>Dr. Öğr. Üyesi Tufan Demirel</t>
  </si>
  <si>
    <t>Dr. Öğr. Üyesi Erdin Gökalp</t>
  </si>
  <si>
    <t>Dr. Öğr. Üyesi Füsun Çizmeci Yöreş</t>
  </si>
  <si>
    <t>Dr. Öğr. Üyesi Tülay Erbesler Ayaşlıgil</t>
  </si>
  <si>
    <t>Dr. Öğr. Üyesi FÜSUN ÇİZMECİ YÖREŞ</t>
  </si>
  <si>
    <t>Dr. Öğr. Üyesi Inci Salt</t>
  </si>
  <si>
    <t>Dr. Öğr. Üyesi Oğuz ALTUN</t>
  </si>
  <si>
    <t>Dr. Öğr. Üyesi Görkem Özülkü</t>
  </si>
  <si>
    <t>Dr. Öğr. Üyesi M. Amaç Güvensan</t>
  </si>
  <si>
    <t>Dr. Öğr. Üyesi Muharrem Boğoçlu</t>
  </si>
  <si>
    <t>Dr. Öğr. Üyesi Tuğçe ERCAN ŞİMŞEKALP</t>
  </si>
  <si>
    <t>Dr. Öğr. Üyesi A.Osman KURUŞCU</t>
  </si>
  <si>
    <t>Dr. Öğr. Üyesi Ercan Koç</t>
  </si>
  <si>
    <t>Dr. Öğr. Üyesi Atiye Hülya Obdan</t>
  </si>
  <si>
    <t>Dr. Öğr. Üyesi Togan Tong</t>
  </si>
  <si>
    <t>Dr. Öğr. Üyesi Revna ACAR VURAL</t>
  </si>
  <si>
    <t>Dr. Öğr. Üyesi Servet Es</t>
  </si>
  <si>
    <t>Dr. Öğr. Üyesi M. Handan ÇUBUK</t>
  </si>
  <si>
    <t>Dr. Öğr. Üyesi Şenay VURAL KORKUT</t>
  </si>
  <si>
    <t>Dr. Öğr. Üyesi İnci Salt</t>
  </si>
  <si>
    <t>Dr. Öğr. Üyesi Güven ŞENER</t>
  </si>
  <si>
    <t>Dr. Öğr. Üyesi İlker Üstoğlu</t>
  </si>
  <si>
    <t>Dr. Öğr. Üyesi Melis UZAR</t>
  </si>
  <si>
    <t>Dr. Öğr. Üyesi Ayten Özkan</t>
  </si>
  <si>
    <t>Dr. Öğr. Üyesi Muzaffer METİN</t>
  </si>
  <si>
    <t>Dr. Öğr. Üyesi Hüseyin Murat Luş</t>
  </si>
  <si>
    <t>Dr. Öğr. Üyesi Burcu Didem Çorbacıoğlu</t>
  </si>
  <si>
    <t>Dr. Öğr. Üyesi Bülent Bolat</t>
  </si>
  <si>
    <t>Dr. Öğr. Üyesi Orkun ÖZENER</t>
  </si>
  <si>
    <t>Dr. Öğr. Üyesi Burak Akın</t>
  </si>
  <si>
    <t>Dr. Öğr. Üyesi Yunus Emre Selçuk</t>
  </si>
  <si>
    <t>Dr. Öğr. Üyesi ZEYNEP FIRAT ALEMDAR</t>
  </si>
  <si>
    <t>Dr. Öğr. Üyesi Meral BAYRAKTAR</t>
  </si>
  <si>
    <t>Dr. Öğr. Üyesi EMİNE GÜLHAN BAKIRDERE</t>
  </si>
  <si>
    <t>Dr. Öğr. Üyesi Zeynep FIRAT ALEMDAR</t>
  </si>
  <si>
    <t>Dr. Öğr. Üyesi ANİME MELİS UZAR DİNLEMEK</t>
  </si>
  <si>
    <t>Dr. Öğr. Üyesi Görkem KÖKKÜLÜNK</t>
  </si>
  <si>
    <t>Dr. Öğr. Üyesi Aykut SAFA</t>
  </si>
  <si>
    <t>Dr. Öğr. Üyesi DOĞAN YILDIZ</t>
  </si>
  <si>
    <t>Dr. Öğr. Üyesi Alper ŞEN</t>
  </si>
  <si>
    <t>Ad-Soyad</t>
  </si>
  <si>
    <t>Unvan</t>
  </si>
  <si>
    <t>Feyza TURAN</t>
  </si>
  <si>
    <t>Mustafa ÇANKAYA</t>
  </si>
  <si>
    <t>Şeyma KİL</t>
  </si>
  <si>
    <t>Aykut DANA</t>
  </si>
  <si>
    <t>Serdar KAYA</t>
  </si>
  <si>
    <t>Gizem DEMİR</t>
  </si>
  <si>
    <t>Emine SENA TOPRAK YALLIHEP</t>
  </si>
  <si>
    <t>İbrahim BAKIR</t>
  </si>
  <si>
    <t>Abduljabbar ABDULJABBAR</t>
  </si>
  <si>
    <t>Esra ERGİN</t>
  </si>
  <si>
    <t>Mahmuthan ÇAKIR</t>
  </si>
  <si>
    <t>Özlem ERDOĞAN</t>
  </si>
  <si>
    <t>Merve ÇELİK</t>
  </si>
  <si>
    <t>Tuğba SAATÇI AYTEN</t>
  </si>
  <si>
    <t>Hümeyra ŞENTÜRK</t>
  </si>
  <si>
    <t>Yunus TURAN PEKMEZCİ</t>
  </si>
  <si>
    <t>Canan ÇAVAŞ</t>
  </si>
  <si>
    <t>Şerife ÖZTÜRK</t>
  </si>
  <si>
    <t>Sevinç GÜLER</t>
  </si>
  <si>
    <t>Ban İSAM RASHİD ALBAYATİ</t>
  </si>
  <si>
    <t>Yusuf BUZCU</t>
  </si>
  <si>
    <t>Ayla AKINCIOĞLU</t>
  </si>
  <si>
    <t>Mehmet UZUN</t>
  </si>
  <si>
    <t>Erman LEVENT TEMELKURAN</t>
  </si>
  <si>
    <t>Duygu ÜNER BAHAR</t>
  </si>
  <si>
    <t>Ümit GÜNEŞ</t>
  </si>
  <si>
    <t>Fahed SAYED</t>
  </si>
  <si>
    <t>Gökhan SAMET KORKMAZ</t>
  </si>
  <si>
    <t>Özge ECE ERDEN</t>
  </si>
  <si>
    <t>İsmail KARADEMİR</t>
  </si>
  <si>
    <t>Caner ÇOPUR</t>
  </si>
  <si>
    <t>Ali BEKİR SEVER</t>
  </si>
  <si>
    <t>Bahadur AMED</t>
  </si>
  <si>
    <t>Sümeyra ÇAĞLAK</t>
  </si>
  <si>
    <t>Emre ÇAYIR</t>
  </si>
  <si>
    <t>Emrah ŞAPLA</t>
  </si>
  <si>
    <t>Nevruz BERNA TATLISU</t>
  </si>
  <si>
    <t>Mehmet ŞANLITÜRK</t>
  </si>
  <si>
    <t>Poyraz OZKAN</t>
  </si>
  <si>
    <t>Çağkan GÜÇER</t>
  </si>
  <si>
    <t>Kevser HIŞIROĞLU AYAR</t>
  </si>
  <si>
    <t>Nuran KÖSE ÇERÇİ</t>
  </si>
  <si>
    <t>Hazal ORMAN</t>
  </si>
  <si>
    <t>Devrim İSENKUL</t>
  </si>
  <si>
    <t>Fahriye DİLARA DABAKOĞLU</t>
  </si>
  <si>
    <t>Yiğit BARTU ILGAZ</t>
  </si>
  <si>
    <t>Gökhan BUNSUZ</t>
  </si>
  <si>
    <t>Yasin DEMİRÖZ</t>
  </si>
  <si>
    <t>Serdar TURAN</t>
  </si>
  <si>
    <t>Orhan ŞENYENER</t>
  </si>
  <si>
    <t>Yakup KÜÇÜK</t>
  </si>
  <si>
    <t>Damla YİGİT</t>
  </si>
  <si>
    <t>Muhammed FURKAN ŞİMŞEK</t>
  </si>
  <si>
    <t>Osman ÖZEN</t>
  </si>
  <si>
    <t>Ezgi ÇATORİ</t>
  </si>
  <si>
    <t>Ecem ŞEN</t>
  </si>
  <si>
    <t>Uğurcan BAYRAM</t>
  </si>
  <si>
    <t>Cem KARAKAYA</t>
  </si>
  <si>
    <t>İsmail CEM AÇIKGÖZ</t>
  </si>
  <si>
    <t>Zeynep HANDE ALTUNER</t>
  </si>
  <si>
    <t>Dilara KANMAZ</t>
  </si>
  <si>
    <t>Emine KOMAN</t>
  </si>
  <si>
    <t>Kaya MOLO</t>
  </si>
  <si>
    <t>Yaprak DERİCİOĞLU</t>
  </si>
  <si>
    <t>Takudzwanashe GİDEON GOVERE</t>
  </si>
  <si>
    <t>Murat İBRAHİMAĞAOĞLU</t>
  </si>
  <si>
    <t>Yasemin AKCAKAYA</t>
  </si>
  <si>
    <t>Murat TUNCER</t>
  </si>
  <si>
    <t>Melıs ÖZŞAHİN</t>
  </si>
  <si>
    <t>Şükrü ORÇUN TAŞ</t>
  </si>
  <si>
    <t>Coşkun KAZMA</t>
  </si>
  <si>
    <t>Samettin MURAT AYAN</t>
  </si>
  <si>
    <t>Sümeyye ŞURA YÜCEL</t>
  </si>
  <si>
    <t>Utku DEMİR</t>
  </si>
  <si>
    <t>Fatih HÜSREVOĞLU</t>
  </si>
  <si>
    <t>Hatice LİVANUR DANIŞIK</t>
  </si>
  <si>
    <t>Ayşe ŞENYÜREK</t>
  </si>
  <si>
    <t>Gamze KAYIKCİ</t>
  </si>
  <si>
    <t>Raşit YÜCE GÜR</t>
  </si>
  <si>
    <t>Olcay KARADENİZ</t>
  </si>
  <si>
    <t>Onur TUNA</t>
  </si>
  <si>
    <t>Merve ŞENSÖZ</t>
  </si>
  <si>
    <t>Taylan SEFER</t>
  </si>
  <si>
    <t>Şeyma SARIOĞLU</t>
  </si>
  <si>
    <t>Turgay GÜCÜKOĞLU</t>
  </si>
  <si>
    <t>Elif GELMEZ</t>
  </si>
  <si>
    <t>İrem ARSLAN AYSUNE</t>
  </si>
  <si>
    <t>Enes ÖZTÜRK</t>
  </si>
  <si>
    <t>Tayfun KARA</t>
  </si>
  <si>
    <t>Evren KANALICI</t>
  </si>
  <si>
    <t>Volkan BEK</t>
  </si>
  <si>
    <t>Neslihan İMAMOĞLU</t>
  </si>
  <si>
    <t>Aziz ŞAHİN EKİCİOĞLU</t>
  </si>
  <si>
    <t>Özge ERGİN</t>
  </si>
  <si>
    <t>Ahmed ARSLANTÜRK</t>
  </si>
  <si>
    <t>Dzemal SKREBO</t>
  </si>
  <si>
    <t>Şeyda SULUDERE</t>
  </si>
  <si>
    <t>Fevzi FATİH ÇAKMAK</t>
  </si>
  <si>
    <t>Ezgi POLAT</t>
  </si>
  <si>
    <t>Mahir ÇAKMAK</t>
  </si>
  <si>
    <t>Tuba ALİOGLU</t>
  </si>
  <si>
    <t>Ayşenur GURBETOĞLU</t>
  </si>
  <si>
    <t>Ceyda KURTULMUŞ</t>
  </si>
  <si>
    <t>Serhat SÖNMEZ</t>
  </si>
  <si>
    <t>Aslıhan KÜÇÜK</t>
  </si>
  <si>
    <t>Fahriye ŞEYMA ÖZCAN</t>
  </si>
  <si>
    <t>Eren BERK ERDOĞAN</t>
  </si>
  <si>
    <t>Fatih EROĞLU</t>
  </si>
  <si>
    <t>Ahmet FARUK TEMELLİ</t>
  </si>
  <si>
    <t>Taygun YÜKSEL</t>
  </si>
  <si>
    <t>Orçun BALBAŞ</t>
  </si>
  <si>
    <t>Emriye ERSOY</t>
  </si>
  <si>
    <t>Kaan OZGOKHAN</t>
  </si>
  <si>
    <t>Seda TURPÇU</t>
  </si>
  <si>
    <t>Nevzat ŞİFA</t>
  </si>
  <si>
    <t>Elif ÖZENÇ KOLUAÇIK</t>
  </si>
  <si>
    <t>Müberra ZEYREK</t>
  </si>
  <si>
    <t>Serap AYHAN</t>
  </si>
  <si>
    <t>Melih TÜRK</t>
  </si>
  <si>
    <t>Buğra HAN ÖNAL</t>
  </si>
  <si>
    <t>Onur ÇİMEN</t>
  </si>
  <si>
    <t>Ferda GÜZELDAĞ</t>
  </si>
  <si>
    <t>Seçkin USLU</t>
  </si>
  <si>
    <t>Nazlı AYAN</t>
  </si>
  <si>
    <t>Pınar ÇAVUŞOĞLU</t>
  </si>
  <si>
    <t>Burcu SARI BAŞMAN</t>
  </si>
  <si>
    <t>Furkan YURDAKUL</t>
  </si>
  <si>
    <t>Elif KEBAPÇI</t>
  </si>
  <si>
    <t>İrem EREN</t>
  </si>
  <si>
    <t>Can YENİDOĞAN</t>
  </si>
  <si>
    <t>Ahmet ERDEM ÖNER</t>
  </si>
  <si>
    <t>Gürkan KARANLIK</t>
  </si>
  <si>
    <t>Mert YENİDOĞAN</t>
  </si>
  <si>
    <t>Zeynep GÜLHAN USLU</t>
  </si>
  <si>
    <t>Öykü IŞIKSUNGUR</t>
  </si>
  <si>
    <t>Mustafa KOC</t>
  </si>
  <si>
    <t>Halil GÖKHAN ŞANSEVEN</t>
  </si>
  <si>
    <t>İbahim BİLİZ</t>
  </si>
  <si>
    <t>Müge FAİZ</t>
  </si>
  <si>
    <t>Merve ÇOBAN</t>
  </si>
  <si>
    <t>Aslı AKSOY</t>
  </si>
  <si>
    <t>Gizem BÜYÜKGÜNER</t>
  </si>
  <si>
    <t>Gonca AKSU</t>
  </si>
  <si>
    <t>Dilara AYDIN</t>
  </si>
  <si>
    <t>Can BOZ</t>
  </si>
  <si>
    <t>Cafer MUSTAFA ÇETİNDAŞ</t>
  </si>
  <si>
    <t>Dilek KAÇMAZ</t>
  </si>
  <si>
    <t>Nureddin NUMAN ÖZTÜRK</t>
  </si>
  <si>
    <t>Sabri YILMAZ</t>
  </si>
  <si>
    <t>Ezgi YOLVER</t>
  </si>
  <si>
    <t>Müge HALİLOĞLU</t>
  </si>
  <si>
    <t>Deniz YAZICI</t>
  </si>
  <si>
    <t>Miyase EZGİ GÜNER</t>
  </si>
  <si>
    <t>Adnan VARER</t>
  </si>
  <si>
    <t>Uğur DEMİRCİ</t>
  </si>
  <si>
    <t>Dicle ÇELİK</t>
  </si>
  <si>
    <t>Rukiye BEKTAŞ</t>
  </si>
  <si>
    <t>Özge BAYKO</t>
  </si>
  <si>
    <t>Dilan DUMAN</t>
  </si>
  <si>
    <t>Sevinay KUTLU NEYDİM</t>
  </si>
  <si>
    <t>Tugay BOZİK</t>
  </si>
  <si>
    <t>Birce KÖKSAL</t>
  </si>
  <si>
    <t>Sinem ŞİMŞEK</t>
  </si>
  <si>
    <t>Derya TAŞTEKİNOĞLU</t>
  </si>
  <si>
    <t>Halil ŞENTÜRK</t>
  </si>
  <si>
    <t>Zeynep ELİF SAYGILI</t>
  </si>
  <si>
    <t>Emine AKTÜRK</t>
  </si>
  <si>
    <t>Hale KAYMAN AKBABA</t>
  </si>
  <si>
    <t>Vedat KARAMAN</t>
  </si>
  <si>
    <t>Esra KASAP</t>
  </si>
  <si>
    <t>Goşenay ZEYNEP AVCI</t>
  </si>
  <si>
    <t>Hande GÜL TÜRKKKAN</t>
  </si>
  <si>
    <t>İrem ERŞAN ÖZÇİFÇİ</t>
  </si>
  <si>
    <t>Tuğba YURTSEVEN</t>
  </si>
  <si>
    <t>Güneş GENÇER ÖZDEMİR</t>
  </si>
  <si>
    <t>Elif PALA</t>
  </si>
  <si>
    <t>Seda ERDÖNMEZ</t>
  </si>
  <si>
    <t>Erva TALAY</t>
  </si>
  <si>
    <t>Şevket BARAN YÜCEL</t>
  </si>
  <si>
    <t>Didem AKTAŞ</t>
  </si>
  <si>
    <t>Özlem AKBAŞ ÖNSOY</t>
  </si>
  <si>
    <t>Alper KOYUTÜRK</t>
  </si>
  <si>
    <t>Murat ÇOBANOĞLU</t>
  </si>
  <si>
    <t>Cafer YAZICIOĞLU</t>
  </si>
  <si>
    <t>Nesim DOĞUŞ YELEKÇİ</t>
  </si>
  <si>
    <t>Selin DEMİREL KARACASULU</t>
  </si>
  <si>
    <t>Hayrettin BİTARAF</t>
  </si>
  <si>
    <t>Fazlı ALPASLAN</t>
  </si>
  <si>
    <t>Mehmet KARADENİZ</t>
  </si>
  <si>
    <t>Deniz ERKUL</t>
  </si>
  <si>
    <t>Damla BULUT</t>
  </si>
  <si>
    <t>Benan İNAN</t>
  </si>
  <si>
    <t>Burak ENGÜR</t>
  </si>
  <si>
    <t>Merve ÇOLAK</t>
  </si>
  <si>
    <t>Elif KARĞI</t>
  </si>
  <si>
    <t>Esra ÖZCAN</t>
  </si>
  <si>
    <t>Adem SAKARYA</t>
  </si>
  <si>
    <t>Hikmet SÜLEYMANOĞLU</t>
  </si>
  <si>
    <t>Nihan ANKARA</t>
  </si>
  <si>
    <t>Ali KORAY ÖZÇELİK</t>
  </si>
  <si>
    <t>Cansın ODABAŞIOĞLU</t>
  </si>
  <si>
    <t>Gürcan KIRNAK</t>
  </si>
  <si>
    <t>Hatice GÖRGÜLÜOĞLU KİRİŞ</t>
  </si>
  <si>
    <t>İzlem HASBUTCU</t>
  </si>
  <si>
    <t>Cansu KISAT TÜFEKÇİ</t>
  </si>
  <si>
    <t>Gökmen TAK</t>
  </si>
  <si>
    <t>Ezgi ŞİMŞEKLİ</t>
  </si>
  <si>
    <t>Yeliz YURDABAK</t>
  </si>
  <si>
    <t>Mehmet HALUK KOCA</t>
  </si>
  <si>
    <t>Ceyda ÖLMEZ</t>
  </si>
  <si>
    <t>Ayşe VELİOĞLU</t>
  </si>
  <si>
    <t>Elif DEMİRCİ</t>
  </si>
  <si>
    <t>Gülçin ÜNSAL TOPAÇ</t>
  </si>
  <si>
    <t>Sevgi VEFA TAÇYILDIZ</t>
  </si>
  <si>
    <t>Ömer FARUK KARADENİZ</t>
  </si>
  <si>
    <t>Kübra SAYIN</t>
  </si>
  <si>
    <t>Öznur ÇETİN GİRAY</t>
  </si>
  <si>
    <t>Tuğrul BAŞARAN</t>
  </si>
  <si>
    <t>Serkan DEMİR</t>
  </si>
  <si>
    <t>Didem BIÇKICI</t>
  </si>
  <si>
    <t>Berat YILMAZ</t>
  </si>
  <si>
    <t>İlke DAMDERE</t>
  </si>
  <si>
    <t>Furkan KARABAYIR</t>
  </si>
  <si>
    <t>Lilya UMEROVA</t>
  </si>
  <si>
    <t>Serkan ÖZDEN</t>
  </si>
  <si>
    <t>Halit ÖRENBAŞ</t>
  </si>
  <si>
    <t>Rukiye BOSTAN</t>
  </si>
  <si>
    <t>Birkan YILMAZGÖZ</t>
  </si>
  <si>
    <t>Mert KALKAN</t>
  </si>
  <si>
    <t>Emine KURU</t>
  </si>
  <si>
    <t>Merve NUR GÜNEN</t>
  </si>
  <si>
    <t>Merve DOĞAN</t>
  </si>
  <si>
    <t>Nihal AYAN</t>
  </si>
  <si>
    <t>Uğur MURAT DEMİR</t>
  </si>
  <si>
    <t>Berru DEMİRBAŞ</t>
  </si>
  <si>
    <t>Yasin OGÜN BEYDOĞAN</t>
  </si>
  <si>
    <t>Seda TANTA ÖZDİL</t>
  </si>
  <si>
    <t>Beyza KIZILOĞLU</t>
  </si>
  <si>
    <t>Dilan ŞANLI</t>
  </si>
  <si>
    <t>Pınar KOÇLARDAN</t>
  </si>
  <si>
    <t>Ece EBRAR KOCA</t>
  </si>
  <si>
    <t>Elif YILMAZEL</t>
  </si>
  <si>
    <t>Hüseyin FURKAN SÖNMEZ</t>
  </si>
  <si>
    <t>Zeynep BURCU ACUNAŞ KARAGÖZ</t>
  </si>
  <si>
    <t>Davut GÜNDÜZ</t>
  </si>
  <si>
    <t>Dilara AÇIKEL</t>
  </si>
  <si>
    <t>Nazlı DENİZ SAĞLAM</t>
  </si>
  <si>
    <t>İpek ÖNEN</t>
  </si>
  <si>
    <t>Ayça ÇELİKBİLEK</t>
  </si>
  <si>
    <t>Esra ONAR</t>
  </si>
  <si>
    <t>Gülçin GÜNGÖR</t>
  </si>
  <si>
    <t>Merve GÖZÜTOK</t>
  </si>
  <si>
    <t>Hüseyin KARADADAŞ</t>
  </si>
  <si>
    <t>Merhawı SAMUEL ZEROM</t>
  </si>
  <si>
    <t>Esma DAMLA KÜRŞAT</t>
  </si>
  <si>
    <t>Erdem HATİPOĞLU</t>
  </si>
  <si>
    <t>Zeynep ELİF ÖZTANER ARIK</t>
  </si>
  <si>
    <t>Onur DALLI</t>
  </si>
  <si>
    <t>Ceyda DURUŞ</t>
  </si>
  <si>
    <t>Hasan BOZKURT</t>
  </si>
  <si>
    <t>Selma KÜÇÜKER</t>
  </si>
  <si>
    <t>Ebru KAYABAŞI</t>
  </si>
  <si>
    <t>Gamze TOSUN</t>
  </si>
  <si>
    <t>Melike ÖZHAN</t>
  </si>
  <si>
    <t>Nazlıcan NAZLI</t>
  </si>
  <si>
    <t>Mine KAYALAR GÖLÜKÇÜ</t>
  </si>
  <si>
    <t>Sema TULUNAY</t>
  </si>
  <si>
    <t>Zeynep KOÇOĞLU UYSAL</t>
  </si>
  <si>
    <t>Arzu YÜKSEL</t>
  </si>
  <si>
    <t>Şeyma ÜSTÜN ÇALIŞIR</t>
  </si>
  <si>
    <t>Oğuzmert ŞAHİN</t>
  </si>
  <si>
    <t>Elif GÖKÇE UÇAR</t>
  </si>
  <si>
    <t>Pınar LÜTFİYE ALKAN</t>
  </si>
  <si>
    <t>Gülten DURSN</t>
  </si>
  <si>
    <t>Esma NEDA YAĞMUR AKKAYA</t>
  </si>
  <si>
    <t>Saygın ERCAN</t>
  </si>
  <si>
    <t>Erdi EKŞİ</t>
  </si>
  <si>
    <t>Kübra AVCI</t>
  </si>
  <si>
    <t>Selda ŞAKİ</t>
  </si>
  <si>
    <t>Celalettin DOĞUKAN ENGİN</t>
  </si>
  <si>
    <t>Fatih BALATAN</t>
  </si>
  <si>
    <t>Zahid AHMAD NAJAR</t>
  </si>
  <si>
    <t>Nur OLGAÇ KARABACAK</t>
  </si>
  <si>
    <t>Umut KAĞAN KOLTAN</t>
  </si>
  <si>
    <t>Tuba KOCA</t>
  </si>
  <si>
    <t>Erhan VURAL</t>
  </si>
  <si>
    <t>Halide ESER</t>
  </si>
  <si>
    <t>Defne GÜL KAYAOĞLU</t>
  </si>
  <si>
    <t>Dilara DEMİREL</t>
  </si>
  <si>
    <t>Betül KILIÇ</t>
  </si>
  <si>
    <t>Salih ERTUĞRUL GÖKCAN</t>
  </si>
  <si>
    <t>Mehmet KOÇ</t>
  </si>
  <si>
    <t>Emel ÜNVER</t>
  </si>
  <si>
    <t>Yiğit TANYERİ</t>
  </si>
  <si>
    <t>Deniz KÜÇÜKKAYA</t>
  </si>
  <si>
    <t>Serra AKGÜNER</t>
  </si>
  <si>
    <t>Yeliz YILMAZ</t>
  </si>
  <si>
    <t>Mutaa ABDALMUTALEB ABD ALHAYALI</t>
  </si>
  <si>
    <t>Umut KOYUNCU</t>
  </si>
  <si>
    <t>Nurullah ÇALIK</t>
  </si>
  <si>
    <t>Fatih TEKİR</t>
  </si>
  <si>
    <t>Tuna AKKAYA</t>
  </si>
  <si>
    <t>Ahmet KANDENİZ</t>
  </si>
  <si>
    <t>Süreyya NAZLI AÇANAL</t>
  </si>
  <si>
    <t>Bengisu GÜNAYDIN</t>
  </si>
  <si>
    <t>Mustafa ONUR ÇETİN</t>
  </si>
  <si>
    <t>Naciye SİMLA UYGAÇ</t>
  </si>
  <si>
    <t>Ebru SOLAK BİLECEN</t>
  </si>
  <si>
    <t>Yunus EMRE TOMRUK</t>
  </si>
  <si>
    <t>Kaan DİLMEN</t>
  </si>
  <si>
    <t>Naciye SEVGÜL</t>
  </si>
  <si>
    <t>Safiye DEMİR</t>
  </si>
  <si>
    <t>Yunus EMRE BAYGELDİ</t>
  </si>
  <si>
    <t>Seniha DENİZ YURTTAKAL</t>
  </si>
  <si>
    <t>Altan ALTAY</t>
  </si>
  <si>
    <t>Hande HATİBOGLU</t>
  </si>
  <si>
    <t>Gökhan DEVECİ</t>
  </si>
  <si>
    <t>Sercan TIĞLI</t>
  </si>
  <si>
    <t>Şenay EKŞİ</t>
  </si>
  <si>
    <t>Melisa İŞSEVER</t>
  </si>
  <si>
    <t>Ayşe ARSLAN</t>
  </si>
  <si>
    <t>Ayşe ÇODUR</t>
  </si>
  <si>
    <t>Zarife ERKALKAN</t>
  </si>
  <si>
    <t>Mehmet KARAOĞLU</t>
  </si>
  <si>
    <t>Oben OZKAN</t>
  </si>
  <si>
    <t>Gözde GERÇEK</t>
  </si>
  <si>
    <t>Gökçe NAZLI KALBAZ</t>
  </si>
  <si>
    <t>İrem ŞAHMUTOĞLU</t>
  </si>
  <si>
    <t>Tugce TALAY</t>
  </si>
  <si>
    <t>Emrecan ÖZDOĞAN</t>
  </si>
  <si>
    <t>Kübra GÖKDUMAN</t>
  </si>
  <si>
    <t>Süha EKMEKCİ</t>
  </si>
  <si>
    <t>Ayşenur ELİF COŞKUN</t>
  </si>
  <si>
    <t>Azize KOÇ</t>
  </si>
  <si>
    <t>Burak CEBECİ</t>
  </si>
  <si>
    <t>Beril SEVİN</t>
  </si>
  <si>
    <t>Kenan YİĞİT</t>
  </si>
  <si>
    <t>Fatma UKŞAL</t>
  </si>
  <si>
    <t>Kaan GENÇAY</t>
  </si>
  <si>
    <t>Eda EKİNCI</t>
  </si>
  <si>
    <t>Furkan ŞENGÜLER</t>
  </si>
  <si>
    <t>Ahmet AYKUT NARİNOĞLU</t>
  </si>
  <si>
    <t>Burcu YAZICI</t>
  </si>
  <si>
    <t>Derya YILMAZ</t>
  </si>
  <si>
    <t>Türkan HARMANBAŞI</t>
  </si>
  <si>
    <t>Neslihan BÜYÜKBAY</t>
  </si>
  <si>
    <t>Leyla FİGEN GEYYAS</t>
  </si>
  <si>
    <t>Tuğçe DARENDELİ</t>
  </si>
  <si>
    <t>Mohamed JEHAD BAETH</t>
  </si>
  <si>
    <t>Gökhan KOÇAK</t>
  </si>
  <si>
    <t>Nilüfer ÖNDER</t>
  </si>
  <si>
    <t>Emine DERİN</t>
  </si>
  <si>
    <t>Nida ŞAHİN</t>
  </si>
  <si>
    <t>Gülay KAYADİBİ</t>
  </si>
  <si>
    <t>Melek SEBİLE YILMAZ</t>
  </si>
  <si>
    <t>Caner BOYRAZ</t>
  </si>
  <si>
    <t>İncı ALKAYA</t>
  </si>
  <si>
    <t>Müzeyyen BETÜL TURAN</t>
  </si>
  <si>
    <t>Özge GÜLVER</t>
  </si>
  <si>
    <t>Melisa GÖRGÜN</t>
  </si>
  <si>
    <t>Meryem ATİLA</t>
  </si>
  <si>
    <t>Kemal EMRE ÇANKIRI</t>
  </si>
  <si>
    <t>İpek DÖKÜMCÜ</t>
  </si>
  <si>
    <t>Aydemir CAN TEKİN</t>
  </si>
  <si>
    <t>Mücahit ALÇEP</t>
  </si>
  <si>
    <t>Gizem SALİH</t>
  </si>
  <si>
    <t>Zeynep ÜLKÜ</t>
  </si>
  <si>
    <t>Cansu YAZICI BAŞARIR</t>
  </si>
  <si>
    <t>Burcu ÜNSAL</t>
  </si>
  <si>
    <t>Ömer TAHA SÖZGEN</t>
  </si>
  <si>
    <t>Cansu PINAR</t>
  </si>
  <si>
    <t>Çiğdem GÖRDÜK</t>
  </si>
  <si>
    <t>Emine AKBULUT</t>
  </si>
  <si>
    <t>Aysenur PAKER BİNİCİ</t>
  </si>
  <si>
    <t>Seren SAĞDIÇ</t>
  </si>
  <si>
    <t>Soner KAYA</t>
  </si>
  <si>
    <t>Pınar KAMİT</t>
  </si>
  <si>
    <t>Neslihan SAYGILI</t>
  </si>
  <si>
    <t>Sufıı MUSSA</t>
  </si>
  <si>
    <t>Hamzah SABAH ABDULQADER ALMUKHTAR</t>
  </si>
  <si>
    <t>Kiraz ÇİFCİBAŞI DURNA</t>
  </si>
  <si>
    <t>Ayşe İREM KARA</t>
  </si>
  <si>
    <t>Fatih MEMİŞ</t>
  </si>
  <si>
    <t>Özge ŞAMLI</t>
  </si>
  <si>
    <t>Fatma BELGİN GEYYAS</t>
  </si>
  <si>
    <t>Naseer SUBHI AHMED</t>
  </si>
  <si>
    <t>Büşra DÜZOĞLU TERCAN</t>
  </si>
  <si>
    <t>Mesut TOKUŞ</t>
  </si>
  <si>
    <t>Tuba UZUN</t>
  </si>
  <si>
    <t>Duygu ZAHMACIOĞLU</t>
  </si>
  <si>
    <t>Büşra ÜNLÜ</t>
  </si>
  <si>
    <t>Elif TANGAL</t>
  </si>
  <si>
    <t>Nurnisa TÜRKOĞLU</t>
  </si>
  <si>
    <t>Senem KARLIDAĞ</t>
  </si>
  <si>
    <t>Merve HÜNDÜR</t>
  </si>
  <si>
    <t>Hülya GÖLEBATMAZ</t>
  </si>
  <si>
    <t>Gamze DÜZGÜN</t>
  </si>
  <si>
    <t>Orkun IŞLEYEN</t>
  </si>
  <si>
    <t>Yasin FIRAT PAYALAN</t>
  </si>
  <si>
    <t>Gökçe ADIGÜZEL ÖZER</t>
  </si>
  <si>
    <t>Büşra GÜNDOĞDU</t>
  </si>
  <si>
    <t>Neslinur HIZLI ERKILIÇ</t>
  </si>
  <si>
    <t>Yasemin BAHAR ÜST</t>
  </si>
  <si>
    <t>Necati ÇAĞRI GÜRPINAR</t>
  </si>
  <si>
    <t>Cenk ÇITAK</t>
  </si>
  <si>
    <t>Nurdan GÜNEŞ OLĞUN</t>
  </si>
  <si>
    <t>Sarper ÖZCAN</t>
  </si>
  <si>
    <t>Sami KUNİ</t>
  </si>
  <si>
    <t>Şakir AYDİN</t>
  </si>
  <si>
    <t>Dilşah BAŞASLAN</t>
  </si>
  <si>
    <t>Gökşenay ÖZDEMİR</t>
  </si>
  <si>
    <t>Alper TUNA</t>
  </si>
  <si>
    <t>Burak GÜR</t>
  </si>
  <si>
    <t>Ayşe KEVSER İSMAİLOĞLU</t>
  </si>
  <si>
    <t>Ümit KİRENCİ</t>
  </si>
  <si>
    <t>Mert ÖLÇEN</t>
  </si>
  <si>
    <t>Emine YAPICI</t>
  </si>
  <si>
    <t>Bayram YURDAKUL</t>
  </si>
  <si>
    <t>Gökçe HANOĞLU</t>
  </si>
  <si>
    <t>Caner TUKTA</t>
  </si>
  <si>
    <t>Nihan DURAN</t>
  </si>
  <si>
    <t>Eda PEDİŞ</t>
  </si>
  <si>
    <t>Tuğçe VATANSEVER</t>
  </si>
  <si>
    <t>Uğur ZENGİN</t>
  </si>
  <si>
    <t>Araz TAHERI</t>
  </si>
  <si>
    <t>Saadı HAMAD THALIJ</t>
  </si>
  <si>
    <t>Saadet AYTAÇ ARPACI</t>
  </si>
  <si>
    <t>Elif ALPAGU</t>
  </si>
  <si>
    <t>Seniha ŞİMALE SU UYGAN</t>
  </si>
  <si>
    <t>Mozhgan JAFARI</t>
  </si>
  <si>
    <t>Müge SARAL</t>
  </si>
  <si>
    <t>Ali ÖZTÜRK</t>
  </si>
  <si>
    <t>Ayça ÖZYETGİN PÖSCHL</t>
  </si>
  <si>
    <t>Hızır EMRE SEYMENOĞLU</t>
  </si>
  <si>
    <t>Muhammet BURAK</t>
  </si>
  <si>
    <t>Oktay KAYSERİLİOĞLU</t>
  </si>
  <si>
    <t>Alaa JASIM MAJID ALSAAD</t>
  </si>
  <si>
    <t>Mehmet GENÇOSMANOĞULLARI</t>
  </si>
  <si>
    <t>Ahmet CAN CECELOĞLU</t>
  </si>
  <si>
    <t>Emre EREN</t>
  </si>
  <si>
    <t>Harun ETÇİ</t>
  </si>
  <si>
    <t>Sevcan VATANSEVER KURTULUŞ</t>
  </si>
  <si>
    <t>Aslıhan ZEYNEP ARIKAN</t>
  </si>
  <si>
    <t>Ozan ULE</t>
  </si>
  <si>
    <t>Akif EMRE DEMİR</t>
  </si>
  <si>
    <t>Duygu BAKIŞLI</t>
  </si>
  <si>
    <t>Kemal TALHA KOÇ</t>
  </si>
  <si>
    <t>Evren ÖZSOY</t>
  </si>
  <si>
    <t>Yasemin ÖRS</t>
  </si>
  <si>
    <t>Pınar KARABACAK</t>
  </si>
  <si>
    <t>Murat GÜNDOĞDU</t>
  </si>
  <si>
    <t>Munise YURTSEVER</t>
  </si>
  <si>
    <t>Asuman CEMİLE KÜÇÜKAYDIN</t>
  </si>
  <si>
    <t>Aycan DOĞAN UYAR</t>
  </si>
  <si>
    <t>Cüneyt AYAN</t>
  </si>
  <si>
    <t>Makbule TAMKAŞ</t>
  </si>
  <si>
    <t>Gaye NACİYE KOYUNCU</t>
  </si>
  <si>
    <t>Fuat KAYA</t>
  </si>
  <si>
    <t>Yener TÜREN</t>
  </si>
  <si>
    <t>Seval KÜÇÜKPARMAKSIZ</t>
  </si>
  <si>
    <t>Kuray DERİCİLER</t>
  </si>
  <si>
    <t>Recep ORHAN</t>
  </si>
  <si>
    <t>Cemil BİRKAN AYLANÇ</t>
  </si>
  <si>
    <t>Gamze GÜNDOĞAN</t>
  </si>
  <si>
    <t>Elmira HASSANİ OSKOUEİ</t>
  </si>
  <si>
    <t>Günay BAŞDOĞAN</t>
  </si>
  <si>
    <t>İsmail TOSUN</t>
  </si>
  <si>
    <t>Ozan KURAL</t>
  </si>
  <si>
    <t>Gizem EFENDİOĞLU</t>
  </si>
  <si>
    <t>Kübra ARI</t>
  </si>
  <si>
    <t>Yunus EMRE FEDAR</t>
  </si>
  <si>
    <t>Eda BİNSOR</t>
  </si>
  <si>
    <t>Eray KAYAR</t>
  </si>
  <si>
    <t>Emmanuel NGAHA</t>
  </si>
  <si>
    <t>Elmira NİZAMOVA</t>
  </si>
  <si>
    <t>Şeyma BEKTAŞ</t>
  </si>
  <si>
    <t>Süleyman SAİT GÜNEŞ</t>
  </si>
  <si>
    <t>Seda TURGUT</t>
  </si>
  <si>
    <t>Berkay OSKAY</t>
  </si>
  <si>
    <t>Muhammet RAŞİT OKAN</t>
  </si>
  <si>
    <t>Alper ÇALIŞKAN</t>
  </si>
  <si>
    <t>Ayşe BUŞRA KURTAK</t>
  </si>
  <si>
    <t>Dilek ÇELİK</t>
  </si>
  <si>
    <t>Mehmet ERBİLEN</t>
  </si>
  <si>
    <t>Zeynep ÖZDERYA</t>
  </si>
  <si>
    <t>Eyüp SERCAN AKGÜL</t>
  </si>
  <si>
    <t>Tuba KAYNARCA</t>
  </si>
  <si>
    <t>Cansu MAĞAZACI</t>
  </si>
  <si>
    <t>Merve ŞİMŞEK</t>
  </si>
  <si>
    <t>Cansu KAYABAŞI AKSU</t>
  </si>
  <si>
    <t>Mevlüt SARI</t>
  </si>
  <si>
    <t>Duygu ARICAN</t>
  </si>
  <si>
    <t>Burcu ACET</t>
  </si>
  <si>
    <t>Derviş BERK CÖNGER</t>
  </si>
  <si>
    <t>Fatmanur GÜRSOY</t>
  </si>
  <si>
    <t>Merve DUYGU TUFAN</t>
  </si>
  <si>
    <t>Mehmet SEZER</t>
  </si>
  <si>
    <t>Hatice ÇİĞDEM ÇİN</t>
  </si>
  <si>
    <t>Numan BURAK ALPAYDIN</t>
  </si>
  <si>
    <t>Çisem ÖZKAN</t>
  </si>
  <si>
    <t>Abdullah TUNÇER</t>
  </si>
  <si>
    <t>Özlem TÜRK</t>
  </si>
  <si>
    <t>Mehmet SOY</t>
  </si>
  <si>
    <t>İbrahim TÜRKSEV BENLİ</t>
  </si>
  <si>
    <t>Yusuf TUNCA</t>
  </si>
  <si>
    <t>Abdulkadir SARI</t>
  </si>
  <si>
    <t>Melike YILDIRIM</t>
  </si>
  <si>
    <t>Gizem GÜNER</t>
  </si>
  <si>
    <t>Serap KÜÇÜKMANİSA</t>
  </si>
  <si>
    <t>Enes FİLİZ</t>
  </si>
  <si>
    <t>Gizem MUSLU</t>
  </si>
  <si>
    <t>Ozan DOĞUKAN BOZDAĞ</t>
  </si>
  <si>
    <t>Zeynep EROĞLU USLU</t>
  </si>
  <si>
    <t>Nazlı ECE GEYİK</t>
  </si>
  <si>
    <t>Serdar EZBER</t>
  </si>
  <si>
    <t>Merve KORKMAZ SEKİTMEZ</t>
  </si>
  <si>
    <t>Yağmur BOZKURT</t>
  </si>
  <si>
    <t>Zafer ZEKİ TANRIVERDİ</t>
  </si>
  <si>
    <t>Elif DEVRİM</t>
  </si>
  <si>
    <t>Sinem SİPAHİOĞLU KARA</t>
  </si>
  <si>
    <t>Yunus EMRE BULUT</t>
  </si>
  <si>
    <t>Deniz NACAR</t>
  </si>
  <si>
    <t>Kadir ATASEVEN</t>
  </si>
  <si>
    <t>Naim DÖNMEZ</t>
  </si>
  <si>
    <t>Ali VURGUN</t>
  </si>
  <si>
    <t>Canan ATAY</t>
  </si>
  <si>
    <t>Serap HAFIZOĞLU</t>
  </si>
  <si>
    <t>Serkan YILDIRIM</t>
  </si>
  <si>
    <t>Göktürk ŞENTÜRK</t>
  </si>
  <si>
    <t>Ersan YILDIZ</t>
  </si>
  <si>
    <t>Ezel KEFELİ</t>
  </si>
  <si>
    <t>Orkun ÖZSAVANER</t>
  </si>
  <si>
    <t>Osman IŞIN</t>
  </si>
  <si>
    <t>Serhat UZ</t>
  </si>
  <si>
    <t>Selçuk DEMİR</t>
  </si>
  <si>
    <t>Esra AYDIN</t>
  </si>
  <si>
    <t>Sümeyye BÜYÜKTORUN</t>
  </si>
  <si>
    <t>Muhammet YELER</t>
  </si>
  <si>
    <t>Eda GÜR</t>
  </si>
  <si>
    <t>Mustafa ERGÜN</t>
  </si>
  <si>
    <t>Mustafa SARI</t>
  </si>
  <si>
    <t>Kerem BOYALI</t>
  </si>
  <si>
    <t>Asım OZAN MUTLU</t>
  </si>
  <si>
    <t>Ezgi NUR ÜNLÜ</t>
  </si>
  <si>
    <t>Işıl BURÇAK YÜCE</t>
  </si>
  <si>
    <t>Samra UGLJANİN</t>
  </si>
  <si>
    <t>Hüseyin ENES HALİTOĞLU</t>
  </si>
  <si>
    <t>Hazal SATILMIŞ</t>
  </si>
  <si>
    <t>Merve GÜLTEKİN</t>
  </si>
  <si>
    <t>Hande NALÇAKAN ÖZKAN</t>
  </si>
  <si>
    <t>Saba ÖZGE KAYA</t>
  </si>
  <si>
    <t>Gözde ÇAKAT</t>
  </si>
  <si>
    <t>Sibel SÜRMELİ</t>
  </si>
  <si>
    <t>Neşe BAYTAN</t>
  </si>
  <si>
    <t>Cansu SOYCAN</t>
  </si>
  <si>
    <t>Emrah FATİH ASILHAN</t>
  </si>
  <si>
    <t>Satı KÖSE</t>
  </si>
  <si>
    <t>Osman ONUR ORUÇ</t>
  </si>
  <si>
    <t>Eda SOYLU SENGÖR</t>
  </si>
  <si>
    <t>Gizem DEMİRTAŞ</t>
  </si>
  <si>
    <t>Rabia MERVE ALTIN</t>
  </si>
  <si>
    <t>Aysun ÜNAL AYAS</t>
  </si>
  <si>
    <t>Fatih KABADAYI</t>
  </si>
  <si>
    <t>Fatih OKUMUŞ</t>
  </si>
  <si>
    <t>İlay SARILAR</t>
  </si>
  <si>
    <t>Elif SÖYLERİZ</t>
  </si>
  <si>
    <t>Tuğçe GENÇ</t>
  </si>
  <si>
    <t>Zeynep YAMAÇ YÜKRÜK</t>
  </si>
  <si>
    <t>Gizem KAHRAMAN</t>
  </si>
  <si>
    <t>Şule ARUKAN</t>
  </si>
  <si>
    <t>Abdus SAMET KIZILASLAN</t>
  </si>
  <si>
    <t>Muzaffer ÇEVİK</t>
  </si>
  <si>
    <t>Kübra GÜLBAHAR</t>
  </si>
  <si>
    <t>Dilara SAYIN</t>
  </si>
  <si>
    <t>Utkan MUSTAFA DURDAĞ</t>
  </si>
  <si>
    <t>Tolga BAKIRMAN</t>
  </si>
  <si>
    <t>Sümeyra BEDİR</t>
  </si>
  <si>
    <t>Leyla YEŞİLBAŞ</t>
  </si>
  <si>
    <t>Nesrin AKPINAR</t>
  </si>
  <si>
    <t>Utku BALÇIK</t>
  </si>
  <si>
    <t>Mustafa KESKİN</t>
  </si>
  <si>
    <t>Özgür YILDIZ</t>
  </si>
  <si>
    <t>Mustafa ALPER ÜSTÜNER</t>
  </si>
  <si>
    <t>Selva TOPRAK</t>
  </si>
  <si>
    <t>Mehmet RAŞİD GENCOSMANOĞLU</t>
  </si>
  <si>
    <t>Hacer ÖZLEM DEMİRTEPE</t>
  </si>
  <si>
    <t>Sinan SİVRİ</t>
  </si>
  <si>
    <t>Soykan KALENDER</t>
  </si>
  <si>
    <t>Ecem KILIÇLAR</t>
  </si>
  <si>
    <t>Metehan SÖNMEZ</t>
  </si>
  <si>
    <t>Roa'A SAFI ABED ALLAH ABED ALAH</t>
  </si>
  <si>
    <t>Duygu TERZİOĞLU</t>
  </si>
  <si>
    <t>Hüseyin YEŞİLYURT</t>
  </si>
  <si>
    <t>Ömer ZÜBEYR ÖZERDEM</t>
  </si>
  <si>
    <t>Bilal KAYRAN</t>
  </si>
  <si>
    <t>Abdulgaffar YETGİN</t>
  </si>
  <si>
    <t>Mehmet ANAR</t>
  </si>
  <si>
    <t>Cansu İNAL KAYNAR</t>
  </si>
  <si>
    <t>İrfan KARAAĞAÇ</t>
  </si>
  <si>
    <t>Gökhan BAYRAM</t>
  </si>
  <si>
    <t>Esma ULUSOY</t>
  </si>
  <si>
    <t>Vedat BALIKÇI</t>
  </si>
  <si>
    <t>Cansu KESKİN</t>
  </si>
  <si>
    <t>Kerem GÜL</t>
  </si>
  <si>
    <t>Müge ERDİ</t>
  </si>
  <si>
    <t>İpek ÇAKIN GÜNGÖR</t>
  </si>
  <si>
    <t>Baranalp ÖZKAN</t>
  </si>
  <si>
    <t>Naser ALHUSSEİN</t>
  </si>
  <si>
    <t>Gülsemay YİĞİT</t>
  </si>
  <si>
    <t>Sıtkı KOCAOĞLU</t>
  </si>
  <si>
    <t>Tez Danışmanı:</t>
  </si>
  <si>
    <t>Tez Başlığı:</t>
  </si>
  <si>
    <t>Yayın Şartı:</t>
  </si>
  <si>
    <t>Yayın:</t>
  </si>
  <si>
    <t>Durum:</t>
  </si>
  <si>
    <t>OYBİRLİĞİ/BAŞARILI</t>
  </si>
  <si>
    <t>Savunma Tarihi:</t>
  </si>
  <si>
    <t>Tez Teslim Tarihi:</t>
  </si>
  <si>
    <t>Adı-Soyadı:</t>
  </si>
  <si>
    <t>TİK-1 (Kurum İçi)</t>
  </si>
  <si>
    <t>TİK-2 (Kurum Dışı)</t>
  </si>
  <si>
    <t>Üniversite Adı</t>
  </si>
  <si>
    <t>Mikroşebekelerde Enerji Depolama Teknolojilerinin Ekonomik ve Performans Analizi</t>
  </si>
  <si>
    <t>Hakan AKÇA</t>
  </si>
  <si>
    <t>Gelişim Üni.</t>
  </si>
  <si>
    <t>Dr.Öğr. Üyesi</t>
  </si>
  <si>
    <t>Abdulfetah SHOBOLE</t>
  </si>
  <si>
    <t>İZÜ</t>
  </si>
  <si>
    <t>Oğuzhan CEYLAN</t>
  </si>
  <si>
    <t>Kadir Has Üni.</t>
  </si>
  <si>
    <t>Mohammed WADI</t>
  </si>
  <si>
    <t>Doç. Dr.</t>
  </si>
  <si>
    <t xml:space="preserve">Doç. Dr. </t>
  </si>
  <si>
    <t>Pelin Pınar GİRİTLİOĞLU</t>
  </si>
  <si>
    <t>İÜ</t>
  </si>
  <si>
    <t>Cem BEYGO</t>
  </si>
  <si>
    <t>Dr. Öğr. Üyesi</t>
  </si>
  <si>
    <t>Dilek Erden ERBEY</t>
  </si>
  <si>
    <t>MSGSU</t>
  </si>
  <si>
    <t>A. Erdem ERBAŞ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</si>
</sst>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color theme="5"/>
      <name val="Calibri"/>
      <family val="2"/>
      <charset val="162"/>
      <scheme val="minor"/>
    </font>
    <font>
      <b/>
      <sz val="10"/>
      <color rgb="FF000000"/>
      <name val="Times New Roman"/>
      <family val="1"/>
      <charset val="162"/>
    </font>
    <font>
      <sz val="10"/>
      <color theme="1"/>
      <name val="Times New Roman"/>
      <family val="1"/>
      <charset val="16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0" fontId="21" fillId="0" borderId="11" xfId="0" applyFont="1" applyBorder="1"/>
    <xf numFmtId="0" fontId="21" fillId="0" borderId="0" xfId="0" applyFont="1"/>
    <xf numFmtId="0" fontId="22" fillId="0" borderId="11" xfId="0" applyFont="1" applyBorder="1"/>
    <xf numFmtId="0" fontId="22" fillId="0" borderId="0" xfId="0" applyFont="1"/>
    <xf numFmtId="1" fontId="18" fillId="0" borderId="10" xfId="0" applyNumberFormat="1" applyFont="1" applyBorder="1" applyAlignment="1">
      <alignment wrapText="1"/>
    </xf>
    <xf numFmtId="0" fontId="16" fillId="35" borderId="0" xfId="0" applyFont="1" applyFill="1" applyAlignment="1" applyProtection="1">
      <alignment horizontal="right"/>
    </xf>
    <xf numFmtId="0" fontId="16" fillId="35" borderId="0" xfId="0" applyFont="1" applyFill="1" applyProtection="1"/>
    <xf numFmtId="0" fontId="16" fillId="0" borderId="0" xfId="0" applyFont="1" applyProtection="1"/>
    <xf numFmtId="0" fontId="16" fillId="35" borderId="11" xfId="0" applyFont="1" applyFill="1" applyBorder="1" applyProtection="1"/>
    <xf numFmtId="0" fontId="0" fillId="0" borderId="11" xfId="0" applyFont="1" applyBorder="1" applyAlignment="1" applyProtection="1">
      <alignment horizontal="left"/>
    </xf>
    <xf numFmtId="0" fontId="0" fillId="0" borderId="0" xfId="0" applyFont="1" applyAlignment="1" applyProtection="1">
      <alignment horizontal="left"/>
    </xf>
    <xf numFmtId="0" fontId="0" fillId="0" borderId="0" xfId="0" applyProtection="1"/>
    <xf numFmtId="0" fontId="16" fillId="35" borderId="11" xfId="0" applyFont="1" applyFill="1" applyBorder="1" applyAlignment="1" applyProtection="1">
      <alignment wrapText="1"/>
    </xf>
    <xf numFmtId="0" fontId="16" fillId="34" borderId="11" xfId="0" applyFont="1" applyFill="1" applyBorder="1" applyProtection="1"/>
    <xf numFmtId="0" fontId="0" fillId="0" borderId="18" xfId="0" applyBorder="1" applyAlignment="1" applyProtection="1">
      <alignment horizontal="left"/>
    </xf>
    <xf numFmtId="0" fontId="0" fillId="0" borderId="19" xfId="0" applyBorder="1" applyAlignment="1" applyProtection="1"/>
    <xf numFmtId="0" fontId="0" fillId="0" borderId="20" xfId="0" applyBorder="1" applyAlignment="1" applyProtection="1"/>
    <xf numFmtId="0" fontId="20" fillId="35" borderId="12" xfId="0" applyFont="1" applyFill="1" applyBorder="1" applyProtection="1"/>
    <xf numFmtId="0" fontId="20" fillId="35" borderId="13" xfId="0" applyFont="1" applyFill="1" applyBorder="1" applyProtection="1"/>
    <xf numFmtId="0" fontId="20" fillId="35" borderId="14" xfId="0" applyFont="1" applyFill="1" applyBorder="1" applyProtection="1"/>
    <xf numFmtId="0" fontId="0" fillId="0" borderId="11" xfId="0" applyBorder="1" applyProtection="1">
      <protection locked="0"/>
    </xf>
    <xf numFmtId="0" fontId="18" fillId="0" borderId="10" xfId="0" applyFont="1" applyBorder="1" applyAlignment="1" applyProtection="1">
      <alignment wrapText="1"/>
      <protection locked="0"/>
    </xf>
    <xf numFmtId="0" fontId="18" fillId="0" borderId="11" xfId="0" applyFont="1" applyBorder="1" applyAlignment="1" applyProtection="1">
      <alignment horizontal="left" wrapText="1"/>
    </xf>
    <xf numFmtId="0" fontId="0" fillId="0" borderId="11" xfId="0" applyFont="1" applyBorder="1" applyAlignment="1" applyProtection="1">
      <alignment horizontal="left" wrapText="1"/>
    </xf>
    <xf numFmtId="0" fontId="20" fillId="35" borderId="11" xfId="0" applyFont="1" applyFill="1" applyBorder="1" applyProtection="1"/>
    <xf numFmtId="0" fontId="20" fillId="35" borderId="11" xfId="0" applyFont="1" applyFill="1" applyBorder="1"/>
    <xf numFmtId="0" fontId="0" fillId="33" borderId="16" xfId="0" applyFill="1" applyBorder="1" applyAlignment="1" applyProtection="1">
      <alignment wrapText="1"/>
      <protection locked="0"/>
    </xf>
    <xf numFmtId="0" fontId="0" fillId="0" borderId="11" xfId="0" applyBorder="1" applyAlignment="1" applyProtection="1">
      <alignment wrapText="1"/>
      <protection locked="0"/>
    </xf>
    <xf numFmtId="0" fontId="0" fillId="33" borderId="15" xfId="0" applyFill="1" applyBorder="1" applyProtection="1"/>
    <xf numFmtId="0" fontId="0" fillId="33" borderId="17" xfId="0" applyFill="1" applyBorder="1" applyAlignment="1" applyProtection="1">
      <alignment wrapText="1"/>
    </xf>
    <xf numFmtId="0" fontId="0" fillId="0" borderId="19" xfId="0" applyBorder="1" applyAlignment="1" applyProtection="1"/>
    <xf numFmtId="0" fontId="0" fillId="0" borderId="20" xfId="0" applyBorder="1" applyAlignment="1" applyProtection="1"/>
    <xf numFmtId="0" fontId="0" fillId="0" borderId="0" xfId="0" applyAlignment="1" applyProtection="1"/>
    <xf numFmtId="0" fontId="16" fillId="34" borderId="11" xfId="0" applyFont="1" applyFill="1" applyBorder="1" applyAlignment="1" applyProtection="1">
      <alignment wrapText="1"/>
    </xf>
    <xf numFmtId="0" fontId="0" fillId="0" borderId="18" xfId="0" applyBorder="1" applyAlignment="1" applyProtection="1">
      <alignment horizontal="left" wrapText="1"/>
    </xf>
    <xf numFmtId="0" fontId="0" fillId="0" borderId="19" xfId="0" applyBorder="1" applyAlignment="1" applyProtection="1"/>
    <xf numFmtId="0" fontId="0" fillId="0" borderId="20" xfId="0" applyBorder="1" applyAlignment="1" applyProtection="1"/>
    <xf numFmtId="0" fontId="0" fillId="0" borderId="18" xfId="0" applyBorder="1" applyAlignment="1" applyProtection="1"/>
    <xf numFmtId="14" fontId="0" fillId="0" borderId="18" xfId="0" applyNumberFormat="1" applyBorder="1" applyAlignment="1" applyProtection="1">
      <alignment horizontal="left"/>
    </xf>
    <xf numFmtId="0" fontId="0" fillId="0" borderId="19" xfId="0" applyBorder="1" applyAlignment="1" applyProtection="1">
      <alignment horizontal="left"/>
    </xf>
    <xf numFmtId="0" fontId="0" fillId="0" borderId="20" xfId="0" applyBorder="1" applyAlignment="1" applyProtection="1">
      <alignment horizontal="left"/>
    </xf>
    <xf numFmtId="0" fontId="0" fillId="0" borderId="11" xfId="0" applyBorder="1" applyAlignment="1" applyProtection="1">
      <alignment wrapText="1"/>
    </xf>
    <xf numFmtId="0" fontId="0" fillId="0" borderId="18" xfId="0" applyBorder="1" applyAlignment="1" applyProtection="1">
      <alignment horizontal="left" wrapText="1"/>
      <protection locked="0"/>
    </xf>
    <xf numFmtId="0" fontId="0" fillId="0" borderId="19" xfId="0" applyBorder="1" applyAlignment="1" applyProtection="1">
      <alignment horizontal="left" wrapText="1"/>
      <protection locked="0"/>
    </xf>
    <xf numFmtId="0" fontId="0" fillId="0" borderId="20" xfId="0" applyBorder="1" applyAlignment="1" applyProtection="1">
      <alignment horizontal="left" wrapText="1"/>
      <protection locked="0"/>
    </xf>
    <xf numFmtId="0" fontId="0" fillId="0" borderId="11" xfId="0" applyBorder="1" applyAlignment="1" applyProtection="1">
      <alignment horizontal="left" wrapText="1"/>
    </xf>
    <xf numFmtId="0" fontId="0" fillId="0" borderId="11" xfId="0" applyBorder="1" applyAlignment="1" applyProtection="1">
      <alignment horizontal="left"/>
    </xf>
    <xf numFmtId="0" fontId="0" fillId="0" borderId="18" xfId="0" applyBorder="1" applyAlignment="1" applyProtection="1">
      <alignment wrapText="1"/>
    </xf>
    <xf numFmtId="0" fontId="0" fillId="0" borderId="18" xfId="0" applyBorder="1" applyAlignment="1" applyProtection="1">
      <alignment horizontal="left"/>
    </xf>
    <xf numFmtId="0" fontId="0" fillId="0" borderId="18" xfId="0" applyBorder="1" applyAlignment="1" applyProtection="1">
      <alignment horizontal="center" wrapText="1"/>
      <protection locked="0"/>
    </xf>
    <xf numFmtId="0" fontId="0" fillId="0" borderId="19" xfId="0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33" borderId="15" xfId="0" applyFill="1" applyBorder="1" applyProtection="1">
      <protection locked="0"/>
    </xf>
    <xf numFmtId="0" fontId="0" fillId="33" borderId="16" xfId="0" applyNumberFormat="1" applyFill="1" applyBorder="1" applyAlignment="1" applyProtection="1">
      <alignment wrapText="1"/>
      <protection locked="0"/>
    </xf>
    <xf numFmtId="0" fontId="0" fillId="33" borderId="17" xfId="0" applyFill="1" applyBorder="1" applyAlignment="1" applyProtection="1">
      <alignment wrapText="1"/>
      <protection locked="0"/>
    </xf>
    <xf numFmtId="0" fontId="0" fillId="33" borderId="16" xfId="0" applyNumberFormat="1" applyFill="1" applyBorder="1" applyProtection="1">
      <protection locked="0"/>
    </xf>
    <xf numFmtId="0" fontId="0" fillId="33" borderId="17" xfId="0" applyFill="1" applyBorder="1" applyProtection="1">
      <protection locked="0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2"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D21" totalsRowShown="0" headerRowDxfId="21" dataDxfId="19" headerRowBorderDxfId="20" tableBorderDxfId="18" totalsRowBorderDxfId="17">
  <tableColumns count="3">
    <tableColumn id="1" xr3:uid="{00000000-0010-0000-0000-000001000000}" name="Unvan" dataDxfId="16" totalsRowDxfId="15"/>
    <tableColumn id="2" xr3:uid="{00000000-0010-0000-0000-000002000000}" name="Ad-Soyad" dataDxfId="14" totalsRowDxfId="13"/>
    <tableColumn id="3" xr3:uid="{00000000-0010-0000-0000-000003000000}" name="Ana Bilim Dalı" dataDxfId="12" totalsRowDxfId="11">
      <calculatedColumnFormula>VLOOKUP(Table1[Unvan],JuriKurumici!A:D,4,0)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B13:D18" totalsRowShown="0" headerRowDxfId="10" dataDxfId="8" headerRowBorderDxfId="9" tableBorderDxfId="7" totalsRowBorderDxfId="6">
  <tableColumns count="3">
    <tableColumn id="1" xr3:uid="{00000000-0010-0000-0100-000001000000}" name="Unvan" dataDxfId="5" totalsRowDxfId="4"/>
    <tableColumn id="2" xr3:uid="{00000000-0010-0000-0100-000002000000}" name="Ad-Soyad" dataDxfId="3" totalsRowDxfId="2"/>
    <tableColumn id="3" xr3:uid="{00000000-0010-0000-0100-000003000000}" name="Ana Bilim Dalı" dataDxfId="1" totalsRowDxfId="0">
      <calculatedColumnFormula>VLOOKUP(Table14[Unvan],JuriKurumici!A:D,4,0)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2"/>
  <sheetViews>
    <sheetView workbookViewId="0">
      <selection activeCell="A2" sqref="A2"/>
    </sheetView>
  </sheetViews>
  <sheetFormatPr defaultRowHeight="12.75" x14ac:dyDescent="0.2"/>
  <cols>
    <col min="1" max="1" width="25.28515625" style="7" customWidth="1"/>
    <col min="2" max="2" width="15.140625" style="7" customWidth="1"/>
    <col min="3" max="3" width="38.7109375" style="7" customWidth="1"/>
    <col min="4" max="4" width="47.140625" style="7" bestFit="1" customWidth="1"/>
    <col min="5" max="16384" width="9.140625" style="7"/>
  </cols>
  <sheetData>
    <row r="1" spans="1:4" s="5" customFormat="1" x14ac:dyDescent="0.2">
      <c r="A1" s="4" t="s">
        <v>1856</v>
      </c>
      <c r="B1" s="4" t="s">
        <v>1472</v>
      </c>
      <c r="C1" s="4" t="s">
        <v>1473</v>
      </c>
      <c r="D1" s="4" t="s">
        <v>1474</v>
      </c>
    </row>
    <row r="2" spans="1:4" x14ac:dyDescent="0.2">
      <c r="A2" s="6" t="s">
        <v>1879</v>
      </c>
      <c r="B2" s="6" t="s">
        <v>1880</v>
      </c>
      <c r="C2" s="6" t="s">
        <v>2681</v>
      </c>
      <c r="D2" s="6" t="s">
        <v>2682</v>
      </c>
    </row>
    <row r="3" spans="1:4" x14ac:dyDescent="0.2">
      <c r="A3" s="6" t="s">
        <v>1881</v>
      </c>
      <c r="B3" s="6" t="s">
        <v>1882</v>
      </c>
      <c r="C3" s="6" t="s">
        <v>2681</v>
      </c>
      <c r="D3" s="6" t="s">
        <v>2661</v>
      </c>
    </row>
    <row r="4" spans="1:4" x14ac:dyDescent="0.2">
      <c r="A4" s="6" t="s">
        <v>1883</v>
      </c>
      <c r="B4" s="6" t="s">
        <v>1880</v>
      </c>
      <c r="C4" s="6" t="s">
        <v>1884</v>
      </c>
      <c r="D4" s="6" t="s">
        <v>2673</v>
      </c>
    </row>
    <row r="5" spans="1:4" x14ac:dyDescent="0.2">
      <c r="A5" s="6" t="s">
        <v>1885</v>
      </c>
      <c r="B5" s="6" t="s">
        <v>1880</v>
      </c>
      <c r="C5" s="6" t="s">
        <v>1886</v>
      </c>
      <c r="D5" s="6" t="s">
        <v>1887</v>
      </c>
    </row>
    <row r="6" spans="1:4" x14ac:dyDescent="0.2">
      <c r="A6" s="6" t="s">
        <v>1888</v>
      </c>
      <c r="B6" s="6" t="s">
        <v>1882</v>
      </c>
      <c r="C6" s="6" t="s">
        <v>1889</v>
      </c>
      <c r="D6" s="6" t="s">
        <v>2678</v>
      </c>
    </row>
    <row r="7" spans="1:4" x14ac:dyDescent="0.2">
      <c r="A7" s="6" t="s">
        <v>1890</v>
      </c>
      <c r="B7" s="6" t="s">
        <v>1880</v>
      </c>
      <c r="C7" s="6" t="s">
        <v>1886</v>
      </c>
      <c r="D7" s="6" t="s">
        <v>1887</v>
      </c>
    </row>
    <row r="8" spans="1:4" x14ac:dyDescent="0.2">
      <c r="A8" s="6" t="s">
        <v>1891</v>
      </c>
      <c r="B8" s="6" t="s">
        <v>1880</v>
      </c>
      <c r="C8" s="6" t="s">
        <v>1475</v>
      </c>
      <c r="D8" s="6" t="s">
        <v>2665</v>
      </c>
    </row>
    <row r="9" spans="1:4" x14ac:dyDescent="0.2">
      <c r="A9" s="6" t="s">
        <v>1892</v>
      </c>
      <c r="B9" s="6" t="s">
        <v>1893</v>
      </c>
      <c r="C9" s="6" t="s">
        <v>2681</v>
      </c>
      <c r="D9" s="6" t="s">
        <v>2667</v>
      </c>
    </row>
    <row r="10" spans="1:4" x14ac:dyDescent="0.2">
      <c r="A10" s="6" t="s">
        <v>1894</v>
      </c>
      <c r="B10" s="6" t="s">
        <v>1895</v>
      </c>
      <c r="C10" s="6" t="s">
        <v>1886</v>
      </c>
      <c r="D10" s="6" t="s">
        <v>1887</v>
      </c>
    </row>
    <row r="11" spans="1:4" x14ac:dyDescent="0.2">
      <c r="A11" s="6" t="s">
        <v>1896</v>
      </c>
      <c r="B11" s="6" t="s">
        <v>1895</v>
      </c>
      <c r="C11" s="6" t="s">
        <v>1475</v>
      </c>
      <c r="D11" s="6" t="s">
        <v>2675</v>
      </c>
    </row>
    <row r="12" spans="1:4" x14ac:dyDescent="0.2">
      <c r="A12" s="6" t="s">
        <v>1897</v>
      </c>
      <c r="B12" s="6" t="s">
        <v>1880</v>
      </c>
      <c r="C12" s="6" t="s">
        <v>1898</v>
      </c>
      <c r="D12" s="6" t="s">
        <v>2666</v>
      </c>
    </row>
    <row r="13" spans="1:4" x14ac:dyDescent="0.2">
      <c r="A13" s="6" t="s">
        <v>1899</v>
      </c>
      <c r="B13" s="6" t="s">
        <v>1880</v>
      </c>
      <c r="C13" s="6" t="s">
        <v>2681</v>
      </c>
      <c r="D13" s="6" t="s">
        <v>2682</v>
      </c>
    </row>
    <row r="14" spans="1:4" x14ac:dyDescent="0.2">
      <c r="A14" s="6" t="s">
        <v>1900</v>
      </c>
      <c r="B14" s="6" t="s">
        <v>1882</v>
      </c>
      <c r="C14" s="6" t="s">
        <v>1475</v>
      </c>
      <c r="D14" s="6" t="s">
        <v>2675</v>
      </c>
    </row>
    <row r="15" spans="1:4" x14ac:dyDescent="0.2">
      <c r="A15" s="6" t="s">
        <v>1901</v>
      </c>
      <c r="B15" s="6" t="s">
        <v>1880</v>
      </c>
      <c r="C15" s="6" t="s">
        <v>1886</v>
      </c>
      <c r="D15" s="6" t="s">
        <v>1887</v>
      </c>
    </row>
    <row r="16" spans="1:4" x14ac:dyDescent="0.2">
      <c r="A16" s="6" t="s">
        <v>1902</v>
      </c>
      <c r="B16" s="6" t="s">
        <v>1880</v>
      </c>
      <c r="C16" s="6" t="s">
        <v>1884</v>
      </c>
      <c r="D16" s="6" t="s">
        <v>2669</v>
      </c>
    </row>
    <row r="17" spans="1:4" x14ac:dyDescent="0.2">
      <c r="A17" s="6" t="s">
        <v>1903</v>
      </c>
      <c r="B17" s="6" t="s">
        <v>1895</v>
      </c>
      <c r="C17" s="6" t="s">
        <v>1898</v>
      </c>
      <c r="D17" s="6" t="s">
        <v>2671</v>
      </c>
    </row>
    <row r="18" spans="1:4" x14ac:dyDescent="0.2">
      <c r="A18" s="6" t="s">
        <v>1904</v>
      </c>
      <c r="B18" s="6" t="s">
        <v>1880</v>
      </c>
      <c r="C18" s="6" t="s">
        <v>1898</v>
      </c>
      <c r="D18" s="6" t="s">
        <v>2671</v>
      </c>
    </row>
    <row r="19" spans="1:4" x14ac:dyDescent="0.2">
      <c r="A19" s="6" t="s">
        <v>1905</v>
      </c>
      <c r="B19" s="6" t="s">
        <v>1880</v>
      </c>
      <c r="C19" s="6" t="s">
        <v>2683</v>
      </c>
      <c r="D19" s="6" t="s">
        <v>2684</v>
      </c>
    </row>
    <row r="20" spans="1:4" x14ac:dyDescent="0.2">
      <c r="A20" s="6" t="s">
        <v>1906</v>
      </c>
      <c r="B20" s="6" t="s">
        <v>1880</v>
      </c>
      <c r="C20" s="6" t="s">
        <v>2681</v>
      </c>
      <c r="D20" s="6" t="s">
        <v>2667</v>
      </c>
    </row>
    <row r="21" spans="1:4" x14ac:dyDescent="0.2">
      <c r="A21" s="6" t="s">
        <v>1907</v>
      </c>
      <c r="B21" s="6" t="s">
        <v>1880</v>
      </c>
      <c r="C21" s="6" t="s">
        <v>1884</v>
      </c>
      <c r="D21" s="6" t="s">
        <v>2676</v>
      </c>
    </row>
    <row r="22" spans="1:4" x14ac:dyDescent="0.2">
      <c r="A22" s="6" t="s">
        <v>1908</v>
      </c>
      <c r="B22" s="6" t="s">
        <v>1909</v>
      </c>
      <c r="C22" s="6" t="s">
        <v>2683</v>
      </c>
      <c r="D22" s="6" t="s">
        <v>2685</v>
      </c>
    </row>
    <row r="23" spans="1:4" x14ac:dyDescent="0.2">
      <c r="A23" s="6" t="s">
        <v>1910</v>
      </c>
      <c r="B23" s="6" t="s">
        <v>1880</v>
      </c>
      <c r="C23" s="6" t="s">
        <v>1886</v>
      </c>
      <c r="D23" s="6" t="s">
        <v>1887</v>
      </c>
    </row>
    <row r="24" spans="1:4" x14ac:dyDescent="0.2">
      <c r="A24" s="6" t="s">
        <v>1870</v>
      </c>
      <c r="B24" s="6" t="s">
        <v>1895</v>
      </c>
      <c r="C24" s="6" t="s">
        <v>1475</v>
      </c>
      <c r="D24" s="6" t="s">
        <v>2665</v>
      </c>
    </row>
    <row r="25" spans="1:4" x14ac:dyDescent="0.2">
      <c r="A25" s="6" t="s">
        <v>1911</v>
      </c>
      <c r="B25" s="6" t="s">
        <v>1882</v>
      </c>
      <c r="C25" s="6" t="s">
        <v>1475</v>
      </c>
      <c r="D25" s="6" t="s">
        <v>2675</v>
      </c>
    </row>
    <row r="26" spans="1:4" x14ac:dyDescent="0.2">
      <c r="A26" s="6" t="s">
        <v>1912</v>
      </c>
      <c r="B26" s="6" t="s">
        <v>1882</v>
      </c>
      <c r="C26" s="6" t="s">
        <v>2681</v>
      </c>
      <c r="D26" s="6" t="s">
        <v>2682</v>
      </c>
    </row>
    <row r="27" spans="1:4" x14ac:dyDescent="0.2">
      <c r="A27" s="6" t="s">
        <v>1913</v>
      </c>
      <c r="B27" s="6" t="s">
        <v>1880</v>
      </c>
      <c r="C27" s="6" t="s">
        <v>2681</v>
      </c>
      <c r="D27" s="6" t="s">
        <v>2682</v>
      </c>
    </row>
    <row r="28" spans="1:4" x14ac:dyDescent="0.2">
      <c r="A28" s="6" t="s">
        <v>1914</v>
      </c>
      <c r="B28" s="6" t="s">
        <v>1895</v>
      </c>
      <c r="C28" s="6" t="s">
        <v>1898</v>
      </c>
      <c r="D28" s="6" t="s">
        <v>2663</v>
      </c>
    </row>
    <row r="29" spans="1:4" x14ac:dyDescent="0.2">
      <c r="A29" s="6" t="s">
        <v>1915</v>
      </c>
      <c r="B29" s="6" t="s">
        <v>1882</v>
      </c>
      <c r="C29" s="6" t="s">
        <v>2681</v>
      </c>
      <c r="D29" s="6" t="s">
        <v>2664</v>
      </c>
    </row>
    <row r="30" spans="1:4" x14ac:dyDescent="0.2">
      <c r="A30" s="6" t="s">
        <v>1916</v>
      </c>
      <c r="B30" s="6" t="s">
        <v>1882</v>
      </c>
      <c r="C30" s="6" t="s">
        <v>1917</v>
      </c>
      <c r="D30" s="6" t="s">
        <v>2679</v>
      </c>
    </row>
    <row r="31" spans="1:4" x14ac:dyDescent="0.2">
      <c r="A31" s="6" t="s">
        <v>1918</v>
      </c>
      <c r="B31" s="6" t="s">
        <v>1880</v>
      </c>
      <c r="C31" s="6" t="s">
        <v>1475</v>
      </c>
      <c r="D31" s="6" t="s">
        <v>2668</v>
      </c>
    </row>
    <row r="32" spans="1:4" x14ac:dyDescent="0.2">
      <c r="A32" s="6" t="s">
        <v>1919</v>
      </c>
      <c r="B32" s="6" t="s">
        <v>1895</v>
      </c>
      <c r="C32" s="6" t="s">
        <v>1898</v>
      </c>
      <c r="D32" s="6" t="s">
        <v>2671</v>
      </c>
    </row>
    <row r="33" spans="1:4" x14ac:dyDescent="0.2">
      <c r="A33" s="6" t="s">
        <v>1920</v>
      </c>
      <c r="B33" s="6" t="s">
        <v>1882</v>
      </c>
      <c r="C33" s="6" t="s">
        <v>1898</v>
      </c>
      <c r="D33" s="6" t="s">
        <v>2671</v>
      </c>
    </row>
    <row r="34" spans="1:4" x14ac:dyDescent="0.2">
      <c r="A34" s="6" t="s">
        <v>1921</v>
      </c>
      <c r="B34" s="6" t="s">
        <v>1880</v>
      </c>
      <c r="C34" s="6" t="s">
        <v>1884</v>
      </c>
      <c r="D34" s="6" t="s">
        <v>2673</v>
      </c>
    </row>
    <row r="35" spans="1:4" x14ac:dyDescent="0.2">
      <c r="A35" s="6" t="s">
        <v>1922</v>
      </c>
      <c r="B35" s="6" t="s">
        <v>1895</v>
      </c>
      <c r="C35" s="6" t="s">
        <v>1917</v>
      </c>
      <c r="D35" s="6" t="s">
        <v>1923</v>
      </c>
    </row>
    <row r="36" spans="1:4" x14ac:dyDescent="0.2">
      <c r="A36" s="6" t="s">
        <v>1867</v>
      </c>
      <c r="B36" s="6" t="s">
        <v>1909</v>
      </c>
      <c r="C36" s="6" t="s">
        <v>1475</v>
      </c>
      <c r="D36" s="6" t="s">
        <v>2665</v>
      </c>
    </row>
    <row r="37" spans="1:4" x14ac:dyDescent="0.2">
      <c r="A37" s="6" t="s">
        <v>1924</v>
      </c>
      <c r="B37" s="6" t="s">
        <v>1895</v>
      </c>
      <c r="C37" s="6" t="s">
        <v>2683</v>
      </c>
      <c r="D37" s="6" t="s">
        <v>2684</v>
      </c>
    </row>
    <row r="38" spans="1:4" x14ac:dyDescent="0.2">
      <c r="A38" s="6" t="s">
        <v>1925</v>
      </c>
      <c r="B38" s="6" t="s">
        <v>1882</v>
      </c>
      <c r="C38" s="6" t="s">
        <v>1886</v>
      </c>
      <c r="D38" s="6" t="s">
        <v>1887</v>
      </c>
    </row>
    <row r="39" spans="1:4" x14ac:dyDescent="0.2">
      <c r="A39" s="6" t="s">
        <v>1926</v>
      </c>
      <c r="B39" s="6" t="s">
        <v>1880</v>
      </c>
      <c r="C39" s="6" t="s">
        <v>1889</v>
      </c>
      <c r="D39" s="6" t="s">
        <v>1927</v>
      </c>
    </row>
    <row r="40" spans="1:4" x14ac:dyDescent="0.2">
      <c r="A40" s="6" t="s">
        <v>1928</v>
      </c>
      <c r="B40" s="6" t="s">
        <v>1880</v>
      </c>
      <c r="C40" s="6" t="s">
        <v>1475</v>
      </c>
      <c r="D40" s="6" t="s">
        <v>2668</v>
      </c>
    </row>
    <row r="41" spans="1:4" x14ac:dyDescent="0.2">
      <c r="A41" s="6" t="s">
        <v>1929</v>
      </c>
      <c r="B41" s="6" t="s">
        <v>1882</v>
      </c>
      <c r="C41" s="6" t="s">
        <v>2681</v>
      </c>
      <c r="D41" s="6" t="s">
        <v>2660</v>
      </c>
    </row>
    <row r="42" spans="1:4" x14ac:dyDescent="0.2">
      <c r="A42" s="6" t="s">
        <v>1930</v>
      </c>
      <c r="B42" s="6" t="s">
        <v>1895</v>
      </c>
      <c r="C42" s="6" t="s">
        <v>2681</v>
      </c>
      <c r="D42" s="6" t="s">
        <v>2682</v>
      </c>
    </row>
    <row r="43" spans="1:4" x14ac:dyDescent="0.2">
      <c r="A43" s="6" t="s">
        <v>1931</v>
      </c>
      <c r="B43" s="6" t="s">
        <v>1880</v>
      </c>
      <c r="C43" s="6" t="s">
        <v>1884</v>
      </c>
      <c r="D43" s="6" t="s">
        <v>2672</v>
      </c>
    </row>
    <row r="44" spans="1:4" x14ac:dyDescent="0.2">
      <c r="A44" s="6" t="s">
        <v>1932</v>
      </c>
      <c r="B44" s="6" t="s">
        <v>1880</v>
      </c>
      <c r="C44" s="6" t="s">
        <v>1898</v>
      </c>
      <c r="D44" s="6" t="s">
        <v>2663</v>
      </c>
    </row>
    <row r="45" spans="1:4" x14ac:dyDescent="0.2">
      <c r="A45" s="6" t="s">
        <v>1933</v>
      </c>
      <c r="B45" s="6" t="s">
        <v>1895</v>
      </c>
      <c r="C45" s="6" t="s">
        <v>1917</v>
      </c>
      <c r="D45" s="6" t="s">
        <v>2679</v>
      </c>
    </row>
    <row r="46" spans="1:4" x14ac:dyDescent="0.2">
      <c r="A46" s="6" t="s">
        <v>1858</v>
      </c>
      <c r="B46" s="6" t="s">
        <v>1880</v>
      </c>
      <c r="C46" s="6" t="s">
        <v>1475</v>
      </c>
      <c r="D46" s="6" t="s">
        <v>2675</v>
      </c>
    </row>
    <row r="47" spans="1:4" x14ac:dyDescent="0.2">
      <c r="A47" s="6" t="s">
        <v>1934</v>
      </c>
      <c r="B47" s="6" t="s">
        <v>1895</v>
      </c>
      <c r="C47" s="6" t="s">
        <v>2681</v>
      </c>
      <c r="D47" s="6" t="s">
        <v>2667</v>
      </c>
    </row>
    <row r="48" spans="1:4" x14ac:dyDescent="0.2">
      <c r="A48" s="6" t="s">
        <v>1935</v>
      </c>
      <c r="B48" s="6" t="s">
        <v>1909</v>
      </c>
      <c r="C48" s="6" t="s">
        <v>1886</v>
      </c>
      <c r="D48" s="6" t="s">
        <v>1887</v>
      </c>
    </row>
    <row r="49" spans="1:4" x14ac:dyDescent="0.2">
      <c r="A49" s="6" t="s">
        <v>1936</v>
      </c>
      <c r="B49" s="6" t="s">
        <v>1882</v>
      </c>
      <c r="C49" s="6" t="s">
        <v>1475</v>
      </c>
      <c r="D49" s="6" t="s">
        <v>2675</v>
      </c>
    </row>
    <row r="50" spans="1:4" x14ac:dyDescent="0.2">
      <c r="A50" s="6" t="s">
        <v>1937</v>
      </c>
      <c r="B50" s="6" t="s">
        <v>1882</v>
      </c>
      <c r="C50" s="6" t="s">
        <v>1917</v>
      </c>
      <c r="D50" s="6" t="s">
        <v>2679</v>
      </c>
    </row>
    <row r="51" spans="1:4" x14ac:dyDescent="0.2">
      <c r="A51" s="6" t="s">
        <v>1938</v>
      </c>
      <c r="B51" s="6" t="s">
        <v>1882</v>
      </c>
      <c r="C51" s="6" t="s">
        <v>1475</v>
      </c>
      <c r="D51" s="6" t="s">
        <v>2675</v>
      </c>
    </row>
    <row r="52" spans="1:4" x14ac:dyDescent="0.2">
      <c r="A52" s="6" t="s">
        <v>1873</v>
      </c>
      <c r="B52" s="6" t="s">
        <v>1895</v>
      </c>
      <c r="C52" s="6" t="s">
        <v>1475</v>
      </c>
      <c r="D52" s="6" t="s">
        <v>2675</v>
      </c>
    </row>
    <row r="53" spans="1:4" x14ac:dyDescent="0.2">
      <c r="A53" s="6" t="s">
        <v>1939</v>
      </c>
      <c r="B53" s="6" t="s">
        <v>1895</v>
      </c>
      <c r="C53" s="6" t="s">
        <v>1898</v>
      </c>
      <c r="D53" s="6" t="s">
        <v>2663</v>
      </c>
    </row>
    <row r="54" spans="1:4" x14ac:dyDescent="0.2">
      <c r="A54" s="6" t="s">
        <v>1869</v>
      </c>
      <c r="B54" s="6" t="s">
        <v>1882</v>
      </c>
      <c r="C54" s="6" t="s">
        <v>1475</v>
      </c>
      <c r="D54" s="6" t="s">
        <v>2675</v>
      </c>
    </row>
    <row r="55" spans="1:4" x14ac:dyDescent="0.2">
      <c r="A55" s="6" t="s">
        <v>1940</v>
      </c>
      <c r="B55" s="6" t="s">
        <v>1895</v>
      </c>
      <c r="C55" s="6" t="s">
        <v>1886</v>
      </c>
      <c r="D55" s="6" t="s">
        <v>1941</v>
      </c>
    </row>
    <row r="56" spans="1:4" x14ac:dyDescent="0.2">
      <c r="A56" s="6" t="s">
        <v>1942</v>
      </c>
      <c r="B56" s="6" t="s">
        <v>1895</v>
      </c>
      <c r="C56" s="6" t="s">
        <v>1475</v>
      </c>
      <c r="D56" s="6" t="s">
        <v>2675</v>
      </c>
    </row>
    <row r="57" spans="1:4" x14ac:dyDescent="0.2">
      <c r="A57" s="6" t="s">
        <v>1943</v>
      </c>
      <c r="B57" s="6" t="s">
        <v>1895</v>
      </c>
      <c r="C57" s="6" t="s">
        <v>2681</v>
      </c>
      <c r="D57" s="6" t="s">
        <v>2667</v>
      </c>
    </row>
    <row r="58" spans="1:4" x14ac:dyDescent="0.2">
      <c r="A58" s="6" t="s">
        <v>1944</v>
      </c>
      <c r="B58" s="6" t="s">
        <v>1882</v>
      </c>
      <c r="C58" s="6" t="s">
        <v>1475</v>
      </c>
      <c r="D58" s="6" t="s">
        <v>2675</v>
      </c>
    </row>
    <row r="59" spans="1:4" x14ac:dyDescent="0.2">
      <c r="A59" s="6" t="s">
        <v>1945</v>
      </c>
      <c r="B59" s="6" t="s">
        <v>1895</v>
      </c>
      <c r="C59" s="6" t="s">
        <v>1898</v>
      </c>
      <c r="D59" s="6" t="s">
        <v>2663</v>
      </c>
    </row>
    <row r="60" spans="1:4" x14ac:dyDescent="0.2">
      <c r="A60" s="6" t="s">
        <v>1946</v>
      </c>
      <c r="B60" s="6" t="s">
        <v>1909</v>
      </c>
      <c r="C60" s="6" t="s">
        <v>2683</v>
      </c>
      <c r="D60" s="6" t="s">
        <v>2685</v>
      </c>
    </row>
    <row r="61" spans="1:4" x14ac:dyDescent="0.2">
      <c r="A61" s="6" t="s">
        <v>1947</v>
      </c>
      <c r="B61" s="6" t="s">
        <v>1880</v>
      </c>
      <c r="C61" s="6" t="s">
        <v>1898</v>
      </c>
      <c r="D61" s="6" t="s">
        <v>2666</v>
      </c>
    </row>
    <row r="62" spans="1:4" x14ac:dyDescent="0.2">
      <c r="A62" s="6" t="s">
        <v>1948</v>
      </c>
      <c r="B62" s="6" t="s">
        <v>1882</v>
      </c>
      <c r="C62" s="6" t="s">
        <v>1884</v>
      </c>
      <c r="D62" s="6" t="s">
        <v>2669</v>
      </c>
    </row>
    <row r="63" spans="1:4" x14ac:dyDescent="0.2">
      <c r="A63" s="6" t="s">
        <v>1949</v>
      </c>
      <c r="B63" s="6" t="s">
        <v>1895</v>
      </c>
      <c r="C63" s="6" t="s">
        <v>1886</v>
      </c>
      <c r="D63" s="6" t="s">
        <v>2677</v>
      </c>
    </row>
    <row r="64" spans="1:4" x14ac:dyDescent="0.2">
      <c r="A64" s="6" t="s">
        <v>1950</v>
      </c>
      <c r="B64" s="6" t="s">
        <v>1882</v>
      </c>
      <c r="C64" s="6" t="s">
        <v>1884</v>
      </c>
      <c r="D64" s="6" t="s">
        <v>2673</v>
      </c>
    </row>
    <row r="65" spans="1:4" x14ac:dyDescent="0.2">
      <c r="A65" s="6" t="s">
        <v>1951</v>
      </c>
      <c r="B65" s="6" t="s">
        <v>1882</v>
      </c>
      <c r="C65" s="6" t="s">
        <v>1898</v>
      </c>
      <c r="D65" s="6" t="s">
        <v>2663</v>
      </c>
    </row>
    <row r="66" spans="1:4" x14ac:dyDescent="0.2">
      <c r="A66" s="6" t="s">
        <v>1952</v>
      </c>
      <c r="B66" s="6" t="s">
        <v>1895</v>
      </c>
      <c r="C66" s="6" t="s">
        <v>2683</v>
      </c>
      <c r="D66" s="6" t="s">
        <v>2684</v>
      </c>
    </row>
    <row r="67" spans="1:4" x14ac:dyDescent="0.2">
      <c r="A67" s="6" t="s">
        <v>1953</v>
      </c>
      <c r="B67" s="6" t="s">
        <v>1882</v>
      </c>
      <c r="C67" s="6" t="s">
        <v>2681</v>
      </c>
      <c r="D67" s="6" t="s">
        <v>2667</v>
      </c>
    </row>
    <row r="68" spans="1:4" x14ac:dyDescent="0.2">
      <c r="A68" s="6" t="s">
        <v>1954</v>
      </c>
      <c r="B68" s="6" t="s">
        <v>1882</v>
      </c>
      <c r="C68" s="6" t="s">
        <v>1889</v>
      </c>
      <c r="D68" s="6" t="s">
        <v>2678</v>
      </c>
    </row>
    <row r="69" spans="1:4" x14ac:dyDescent="0.2">
      <c r="A69" s="6" t="s">
        <v>1955</v>
      </c>
      <c r="B69" s="6" t="s">
        <v>1882</v>
      </c>
      <c r="C69" s="6" t="s">
        <v>1898</v>
      </c>
      <c r="D69" s="6" t="s">
        <v>2671</v>
      </c>
    </row>
    <row r="70" spans="1:4" x14ac:dyDescent="0.2">
      <c r="A70" s="6" t="s">
        <v>1956</v>
      </c>
      <c r="B70" s="6" t="s">
        <v>1882</v>
      </c>
      <c r="C70" s="6" t="s">
        <v>1917</v>
      </c>
      <c r="D70" s="6" t="s">
        <v>2679</v>
      </c>
    </row>
    <row r="71" spans="1:4" x14ac:dyDescent="0.2">
      <c r="A71" s="6" t="s">
        <v>1957</v>
      </c>
      <c r="B71" s="6" t="s">
        <v>1880</v>
      </c>
      <c r="C71" s="6" t="s">
        <v>1917</v>
      </c>
      <c r="D71" s="6" t="s">
        <v>1923</v>
      </c>
    </row>
    <row r="72" spans="1:4" x14ac:dyDescent="0.2">
      <c r="A72" s="6" t="s">
        <v>1958</v>
      </c>
      <c r="B72" s="6" t="s">
        <v>1882</v>
      </c>
      <c r="C72" s="6" t="s">
        <v>1884</v>
      </c>
      <c r="D72" s="6" t="s">
        <v>2672</v>
      </c>
    </row>
    <row r="73" spans="1:4" x14ac:dyDescent="0.2">
      <c r="A73" s="6" t="s">
        <v>1959</v>
      </c>
      <c r="B73" s="6" t="s">
        <v>1880</v>
      </c>
      <c r="C73" s="6" t="s">
        <v>1898</v>
      </c>
      <c r="D73" s="6" t="s">
        <v>2663</v>
      </c>
    </row>
    <row r="74" spans="1:4" x14ac:dyDescent="0.2">
      <c r="A74" s="6" t="s">
        <v>1960</v>
      </c>
      <c r="B74" s="6" t="s">
        <v>1895</v>
      </c>
      <c r="C74" s="6" t="s">
        <v>2681</v>
      </c>
      <c r="D74" s="6" t="s">
        <v>2667</v>
      </c>
    </row>
    <row r="75" spans="1:4" x14ac:dyDescent="0.2">
      <c r="A75" s="6" t="s">
        <v>1961</v>
      </c>
      <c r="B75" s="6" t="s">
        <v>1882</v>
      </c>
      <c r="C75" s="6" t="s">
        <v>1886</v>
      </c>
      <c r="D75" s="6" t="s">
        <v>2674</v>
      </c>
    </row>
    <row r="76" spans="1:4" x14ac:dyDescent="0.2">
      <c r="A76" s="6" t="s">
        <v>1962</v>
      </c>
      <c r="B76" s="6" t="s">
        <v>1882</v>
      </c>
      <c r="C76" s="6" t="s">
        <v>1889</v>
      </c>
      <c r="D76" s="6" t="s">
        <v>1927</v>
      </c>
    </row>
    <row r="77" spans="1:4" x14ac:dyDescent="0.2">
      <c r="A77" s="6" t="s">
        <v>1963</v>
      </c>
      <c r="B77" s="6" t="s">
        <v>1882</v>
      </c>
      <c r="C77" s="6" t="s">
        <v>1886</v>
      </c>
      <c r="D77" s="6" t="s">
        <v>2677</v>
      </c>
    </row>
    <row r="78" spans="1:4" x14ac:dyDescent="0.2">
      <c r="A78" s="6" t="s">
        <v>1863</v>
      </c>
      <c r="B78" s="6" t="s">
        <v>1882</v>
      </c>
      <c r="C78" s="6" t="s">
        <v>1475</v>
      </c>
      <c r="D78" s="6" t="s">
        <v>2665</v>
      </c>
    </row>
    <row r="79" spans="1:4" x14ac:dyDescent="0.2">
      <c r="A79" s="6" t="s">
        <v>1964</v>
      </c>
      <c r="B79" s="6" t="s">
        <v>1895</v>
      </c>
      <c r="C79" s="6" t="s">
        <v>1898</v>
      </c>
      <c r="D79" s="6" t="s">
        <v>2671</v>
      </c>
    </row>
    <row r="80" spans="1:4" x14ac:dyDescent="0.2">
      <c r="A80" s="6" t="s">
        <v>1965</v>
      </c>
      <c r="B80" s="6" t="s">
        <v>1880</v>
      </c>
      <c r="C80" s="6" t="s">
        <v>1884</v>
      </c>
      <c r="D80" s="6" t="s">
        <v>2673</v>
      </c>
    </row>
    <row r="81" spans="1:4" x14ac:dyDescent="0.2">
      <c r="A81" s="6" t="s">
        <v>1966</v>
      </c>
      <c r="B81" s="6" t="s">
        <v>1895</v>
      </c>
      <c r="C81" s="6" t="s">
        <v>1917</v>
      </c>
      <c r="D81" s="6" t="s">
        <v>1923</v>
      </c>
    </row>
    <row r="82" spans="1:4" x14ac:dyDescent="0.2">
      <c r="A82" s="6" t="s">
        <v>1967</v>
      </c>
      <c r="B82" s="6" t="s">
        <v>1909</v>
      </c>
      <c r="C82" s="6" t="s">
        <v>1917</v>
      </c>
      <c r="D82" s="6" t="s">
        <v>2679</v>
      </c>
    </row>
    <row r="83" spans="1:4" x14ac:dyDescent="0.2">
      <c r="A83" s="6" t="s">
        <v>1968</v>
      </c>
      <c r="B83" s="6" t="s">
        <v>1882</v>
      </c>
      <c r="C83" s="6" t="s">
        <v>1886</v>
      </c>
      <c r="D83" s="6" t="s">
        <v>1941</v>
      </c>
    </row>
    <row r="84" spans="1:4" x14ac:dyDescent="0.2">
      <c r="A84" s="6" t="s">
        <v>1969</v>
      </c>
      <c r="B84" s="6" t="s">
        <v>1895</v>
      </c>
      <c r="C84" s="6" t="s">
        <v>2683</v>
      </c>
      <c r="D84" s="6" t="s">
        <v>2684</v>
      </c>
    </row>
    <row r="85" spans="1:4" x14ac:dyDescent="0.2">
      <c r="A85" s="6" t="s">
        <v>1970</v>
      </c>
      <c r="B85" s="6" t="s">
        <v>1880</v>
      </c>
      <c r="C85" s="6" t="s">
        <v>1886</v>
      </c>
      <c r="D85" s="6" t="s">
        <v>2677</v>
      </c>
    </row>
    <row r="86" spans="1:4" x14ac:dyDescent="0.2">
      <c r="A86" s="6" t="s">
        <v>1971</v>
      </c>
      <c r="B86" s="6" t="s">
        <v>1882</v>
      </c>
      <c r="C86" s="6" t="s">
        <v>1917</v>
      </c>
      <c r="D86" s="6" t="s">
        <v>2679</v>
      </c>
    </row>
    <row r="87" spans="1:4" x14ac:dyDescent="0.2">
      <c r="A87" s="6" t="s">
        <v>1972</v>
      </c>
      <c r="B87" s="6" t="s">
        <v>1882</v>
      </c>
      <c r="C87" s="6" t="s">
        <v>1886</v>
      </c>
      <c r="D87" s="6" t="s">
        <v>2674</v>
      </c>
    </row>
    <row r="88" spans="1:4" x14ac:dyDescent="0.2">
      <c r="A88" s="6" t="s">
        <v>1973</v>
      </c>
      <c r="B88" s="6" t="s">
        <v>1882</v>
      </c>
      <c r="C88" s="6" t="s">
        <v>1889</v>
      </c>
      <c r="D88" s="6" t="s">
        <v>2680</v>
      </c>
    </row>
    <row r="89" spans="1:4" x14ac:dyDescent="0.2">
      <c r="A89" s="6" t="s">
        <v>1974</v>
      </c>
      <c r="B89" s="6" t="s">
        <v>1882</v>
      </c>
      <c r="C89" s="6" t="s">
        <v>1898</v>
      </c>
      <c r="D89" s="6" t="s">
        <v>2671</v>
      </c>
    </row>
    <row r="90" spans="1:4" x14ac:dyDescent="0.2">
      <c r="A90" s="6" t="s">
        <v>1975</v>
      </c>
      <c r="B90" s="6" t="s">
        <v>1882</v>
      </c>
      <c r="C90" s="6" t="s">
        <v>1884</v>
      </c>
      <c r="D90" s="6" t="s">
        <v>2669</v>
      </c>
    </row>
    <row r="91" spans="1:4" x14ac:dyDescent="0.2">
      <c r="A91" s="6" t="s">
        <v>1976</v>
      </c>
      <c r="B91" s="6" t="s">
        <v>1895</v>
      </c>
      <c r="C91" s="6" t="s">
        <v>1886</v>
      </c>
      <c r="D91" s="6" t="s">
        <v>2662</v>
      </c>
    </row>
    <row r="92" spans="1:4" x14ac:dyDescent="0.2">
      <c r="A92" s="6" t="s">
        <v>1977</v>
      </c>
      <c r="B92" s="6" t="s">
        <v>1880</v>
      </c>
      <c r="C92" s="6" t="s">
        <v>1884</v>
      </c>
      <c r="D92" s="6" t="s">
        <v>2673</v>
      </c>
    </row>
    <row r="93" spans="1:4" x14ac:dyDescent="0.2">
      <c r="A93" s="6" t="s">
        <v>1978</v>
      </c>
      <c r="B93" s="6" t="s">
        <v>1880</v>
      </c>
      <c r="C93" s="6" t="s">
        <v>1475</v>
      </c>
      <c r="D93" s="6" t="s">
        <v>2675</v>
      </c>
    </row>
    <row r="94" spans="1:4" x14ac:dyDescent="0.2">
      <c r="A94" s="6" t="s">
        <v>1979</v>
      </c>
      <c r="B94" s="6" t="s">
        <v>1895</v>
      </c>
      <c r="C94" s="6" t="s">
        <v>1884</v>
      </c>
      <c r="D94" s="6" t="s">
        <v>2686</v>
      </c>
    </row>
    <row r="95" spans="1:4" x14ac:dyDescent="0.2">
      <c r="A95" s="6" t="s">
        <v>1980</v>
      </c>
      <c r="B95" s="6" t="s">
        <v>1882</v>
      </c>
      <c r="C95" s="6" t="s">
        <v>1917</v>
      </c>
      <c r="D95" s="6" t="s">
        <v>2679</v>
      </c>
    </row>
    <row r="96" spans="1:4" x14ac:dyDescent="0.2">
      <c r="A96" s="6" t="s">
        <v>1981</v>
      </c>
      <c r="B96" s="6" t="s">
        <v>1895</v>
      </c>
      <c r="C96" s="6" t="s">
        <v>1884</v>
      </c>
      <c r="D96" s="6" t="s">
        <v>2676</v>
      </c>
    </row>
    <row r="97" spans="1:4" x14ac:dyDescent="0.2">
      <c r="A97" s="6" t="s">
        <v>1982</v>
      </c>
      <c r="B97" s="6" t="s">
        <v>1882</v>
      </c>
      <c r="C97" s="6" t="s">
        <v>1917</v>
      </c>
      <c r="D97" s="6" t="s">
        <v>2679</v>
      </c>
    </row>
    <row r="98" spans="1:4" x14ac:dyDescent="0.2">
      <c r="A98" s="6" t="s">
        <v>1983</v>
      </c>
      <c r="B98" s="6" t="s">
        <v>1882</v>
      </c>
      <c r="C98" s="6" t="s">
        <v>1886</v>
      </c>
      <c r="D98" s="6" t="s">
        <v>1941</v>
      </c>
    </row>
    <row r="99" spans="1:4" x14ac:dyDescent="0.2">
      <c r="A99" s="6" t="s">
        <v>1984</v>
      </c>
      <c r="B99" s="6" t="s">
        <v>1893</v>
      </c>
      <c r="C99" s="6" t="s">
        <v>1886</v>
      </c>
      <c r="D99" s="6" t="s">
        <v>1941</v>
      </c>
    </row>
    <row r="100" spans="1:4" x14ac:dyDescent="0.2">
      <c r="A100" s="6" t="s">
        <v>1985</v>
      </c>
      <c r="B100" s="6" t="s">
        <v>1882</v>
      </c>
      <c r="C100" s="6" t="s">
        <v>1886</v>
      </c>
      <c r="D100" s="6" t="s">
        <v>2674</v>
      </c>
    </row>
    <row r="101" spans="1:4" x14ac:dyDescent="0.2">
      <c r="A101" s="6" t="s">
        <v>1986</v>
      </c>
      <c r="B101" s="6" t="s">
        <v>1882</v>
      </c>
      <c r="C101" s="6" t="s">
        <v>1475</v>
      </c>
      <c r="D101" s="6" t="s">
        <v>2668</v>
      </c>
    </row>
    <row r="102" spans="1:4" x14ac:dyDescent="0.2">
      <c r="A102" s="6" t="s">
        <v>1987</v>
      </c>
      <c r="B102" s="6" t="s">
        <v>1882</v>
      </c>
      <c r="C102" s="6" t="s">
        <v>1884</v>
      </c>
      <c r="D102" s="6" t="s">
        <v>2673</v>
      </c>
    </row>
    <row r="103" spans="1:4" x14ac:dyDescent="0.2">
      <c r="A103" s="6" t="s">
        <v>1988</v>
      </c>
      <c r="B103" s="6" t="s">
        <v>1895</v>
      </c>
      <c r="C103" s="6" t="s">
        <v>1889</v>
      </c>
      <c r="D103" s="6" t="s">
        <v>2678</v>
      </c>
    </row>
    <row r="104" spans="1:4" x14ac:dyDescent="0.2">
      <c r="A104" s="6" t="s">
        <v>1989</v>
      </c>
      <c r="B104" s="6" t="s">
        <v>1882</v>
      </c>
      <c r="C104" s="6" t="s">
        <v>1898</v>
      </c>
      <c r="D104" s="6" t="s">
        <v>2663</v>
      </c>
    </row>
    <row r="105" spans="1:4" x14ac:dyDescent="0.2">
      <c r="A105" s="6" t="s">
        <v>1990</v>
      </c>
      <c r="B105" s="6" t="s">
        <v>1880</v>
      </c>
      <c r="C105" s="6" t="s">
        <v>2683</v>
      </c>
      <c r="D105" s="6" t="s">
        <v>2684</v>
      </c>
    </row>
    <row r="106" spans="1:4" x14ac:dyDescent="0.2">
      <c r="A106" s="6" t="s">
        <v>1991</v>
      </c>
      <c r="B106" s="6" t="s">
        <v>1882</v>
      </c>
      <c r="C106" s="6" t="s">
        <v>1884</v>
      </c>
      <c r="D106" s="6" t="s">
        <v>2669</v>
      </c>
    </row>
    <row r="107" spans="1:4" x14ac:dyDescent="0.2">
      <c r="A107" s="6" t="s">
        <v>1992</v>
      </c>
      <c r="B107" s="6" t="s">
        <v>1895</v>
      </c>
      <c r="C107" s="6" t="s">
        <v>1917</v>
      </c>
      <c r="D107" s="6" t="s">
        <v>2679</v>
      </c>
    </row>
    <row r="108" spans="1:4" x14ac:dyDescent="0.2">
      <c r="A108" s="6" t="s">
        <v>1993</v>
      </c>
      <c r="B108" s="6" t="s">
        <v>1880</v>
      </c>
      <c r="C108" s="6" t="s">
        <v>2681</v>
      </c>
      <c r="D108" s="6" t="s">
        <v>2660</v>
      </c>
    </row>
    <row r="109" spans="1:4" x14ac:dyDescent="0.2">
      <c r="A109" s="6" t="s">
        <v>1994</v>
      </c>
      <c r="B109" s="6" t="s">
        <v>1882</v>
      </c>
      <c r="C109" s="6" t="s">
        <v>1884</v>
      </c>
      <c r="D109" s="6" t="s">
        <v>2686</v>
      </c>
    </row>
    <row r="110" spans="1:4" x14ac:dyDescent="0.2">
      <c r="A110" s="6" t="s">
        <v>1995</v>
      </c>
      <c r="B110" s="6" t="s">
        <v>1882</v>
      </c>
      <c r="C110" s="6" t="s">
        <v>1884</v>
      </c>
      <c r="D110" s="6" t="s">
        <v>2669</v>
      </c>
    </row>
    <row r="111" spans="1:4" x14ac:dyDescent="0.2">
      <c r="A111" s="6" t="s">
        <v>1996</v>
      </c>
      <c r="B111" s="6" t="s">
        <v>1882</v>
      </c>
      <c r="C111" s="6" t="s">
        <v>1889</v>
      </c>
      <c r="D111" s="6" t="s">
        <v>1927</v>
      </c>
    </row>
    <row r="112" spans="1:4" x14ac:dyDescent="0.2">
      <c r="A112" s="6" t="s">
        <v>1997</v>
      </c>
      <c r="B112" s="6" t="s">
        <v>1893</v>
      </c>
      <c r="C112" s="6" t="s">
        <v>1475</v>
      </c>
      <c r="D112" s="6" t="s">
        <v>2675</v>
      </c>
    </row>
    <row r="113" spans="1:4" x14ac:dyDescent="0.2">
      <c r="A113" s="6" t="s">
        <v>1998</v>
      </c>
      <c r="B113" s="6" t="s">
        <v>1880</v>
      </c>
      <c r="C113" s="6" t="s">
        <v>1884</v>
      </c>
      <c r="D113" s="6" t="s">
        <v>2673</v>
      </c>
    </row>
    <row r="114" spans="1:4" x14ac:dyDescent="0.2">
      <c r="A114" s="6" t="s">
        <v>1999</v>
      </c>
      <c r="B114" s="6" t="s">
        <v>1882</v>
      </c>
      <c r="C114" s="6" t="s">
        <v>1898</v>
      </c>
      <c r="D114" s="6" t="s">
        <v>2671</v>
      </c>
    </row>
    <row r="115" spans="1:4" x14ac:dyDescent="0.2">
      <c r="A115" s="6" t="s">
        <v>2000</v>
      </c>
      <c r="B115" s="6" t="s">
        <v>1880</v>
      </c>
      <c r="C115" s="6" t="s">
        <v>1884</v>
      </c>
      <c r="D115" s="6" t="s">
        <v>2676</v>
      </c>
    </row>
    <row r="116" spans="1:4" x14ac:dyDescent="0.2">
      <c r="A116" s="6" t="s">
        <v>2001</v>
      </c>
      <c r="B116" s="6" t="s">
        <v>1895</v>
      </c>
      <c r="C116" s="6" t="s">
        <v>1886</v>
      </c>
      <c r="D116" s="6" t="s">
        <v>2677</v>
      </c>
    </row>
    <row r="117" spans="1:4" x14ac:dyDescent="0.2">
      <c r="A117" s="6" t="s">
        <v>2002</v>
      </c>
      <c r="B117" s="6" t="s">
        <v>1880</v>
      </c>
      <c r="C117" s="6" t="s">
        <v>1889</v>
      </c>
      <c r="D117" s="6" t="s">
        <v>2678</v>
      </c>
    </row>
    <row r="118" spans="1:4" x14ac:dyDescent="0.2">
      <c r="A118" s="6" t="s">
        <v>2003</v>
      </c>
      <c r="B118" s="6" t="s">
        <v>1895</v>
      </c>
      <c r="C118" s="6" t="s">
        <v>2681</v>
      </c>
      <c r="D118" s="6" t="s">
        <v>2667</v>
      </c>
    </row>
    <row r="119" spans="1:4" x14ac:dyDescent="0.2">
      <c r="A119" s="6" t="s">
        <v>2004</v>
      </c>
      <c r="B119" s="6" t="s">
        <v>1882</v>
      </c>
      <c r="C119" s="6" t="s">
        <v>1475</v>
      </c>
      <c r="D119" s="6" t="s">
        <v>2675</v>
      </c>
    </row>
    <row r="120" spans="1:4" x14ac:dyDescent="0.2">
      <c r="A120" s="6" t="s">
        <v>2005</v>
      </c>
      <c r="B120" s="6" t="s">
        <v>1895</v>
      </c>
      <c r="C120" s="6" t="s">
        <v>2683</v>
      </c>
      <c r="D120" s="6" t="s">
        <v>2684</v>
      </c>
    </row>
    <row r="121" spans="1:4" x14ac:dyDescent="0.2">
      <c r="A121" s="6" t="s">
        <v>2006</v>
      </c>
      <c r="B121" s="6" t="s">
        <v>1880</v>
      </c>
      <c r="C121" s="6" t="s">
        <v>1884</v>
      </c>
      <c r="D121" s="6" t="s">
        <v>2673</v>
      </c>
    </row>
    <row r="122" spans="1:4" x14ac:dyDescent="0.2">
      <c r="A122" s="6" t="s">
        <v>2007</v>
      </c>
      <c r="B122" s="6" t="s">
        <v>1880</v>
      </c>
      <c r="C122" s="6" t="s">
        <v>1886</v>
      </c>
      <c r="D122" s="6" t="s">
        <v>2674</v>
      </c>
    </row>
    <row r="123" spans="1:4" x14ac:dyDescent="0.2">
      <c r="A123" s="6" t="s">
        <v>2008</v>
      </c>
      <c r="B123" s="6" t="s">
        <v>1895</v>
      </c>
      <c r="C123" s="6" t="s">
        <v>1475</v>
      </c>
      <c r="D123" s="6" t="s">
        <v>2675</v>
      </c>
    </row>
    <row r="124" spans="1:4" x14ac:dyDescent="0.2">
      <c r="A124" s="6" t="s">
        <v>2009</v>
      </c>
      <c r="B124" s="6" t="s">
        <v>1882</v>
      </c>
      <c r="C124" s="6" t="s">
        <v>1898</v>
      </c>
      <c r="D124" s="6" t="s">
        <v>2671</v>
      </c>
    </row>
    <row r="125" spans="1:4" x14ac:dyDescent="0.2">
      <c r="A125" s="6" t="s">
        <v>2010</v>
      </c>
      <c r="B125" s="6" t="s">
        <v>1882</v>
      </c>
      <c r="C125" s="6" t="s">
        <v>1917</v>
      </c>
      <c r="D125" s="6" t="s">
        <v>1923</v>
      </c>
    </row>
    <row r="126" spans="1:4" x14ac:dyDescent="0.2">
      <c r="A126" s="6" t="s">
        <v>2011</v>
      </c>
      <c r="B126" s="6" t="s">
        <v>1880</v>
      </c>
      <c r="C126" s="6" t="s">
        <v>1917</v>
      </c>
      <c r="D126" s="6" t="s">
        <v>2679</v>
      </c>
    </row>
    <row r="127" spans="1:4" x14ac:dyDescent="0.2">
      <c r="A127" s="6" t="s">
        <v>2012</v>
      </c>
      <c r="B127" s="6" t="s">
        <v>1880</v>
      </c>
      <c r="C127" s="6" t="s">
        <v>1898</v>
      </c>
      <c r="D127" s="6" t="s">
        <v>2666</v>
      </c>
    </row>
    <row r="128" spans="1:4" x14ac:dyDescent="0.2">
      <c r="A128" s="6" t="s">
        <v>2013</v>
      </c>
      <c r="B128" s="6" t="s">
        <v>1880</v>
      </c>
      <c r="C128" s="6" t="s">
        <v>1898</v>
      </c>
      <c r="D128" s="6" t="s">
        <v>2671</v>
      </c>
    </row>
    <row r="129" spans="1:4" x14ac:dyDescent="0.2">
      <c r="A129" s="6" t="s">
        <v>2014</v>
      </c>
      <c r="B129" s="6" t="s">
        <v>1895</v>
      </c>
      <c r="C129" s="6" t="s">
        <v>1475</v>
      </c>
      <c r="D129" s="6" t="s">
        <v>2675</v>
      </c>
    </row>
    <row r="130" spans="1:4" x14ac:dyDescent="0.2">
      <c r="A130" s="6" t="s">
        <v>2015</v>
      </c>
      <c r="B130" s="6" t="s">
        <v>1895</v>
      </c>
      <c r="C130" s="6" t="s">
        <v>1475</v>
      </c>
      <c r="D130" s="6" t="s">
        <v>2675</v>
      </c>
    </row>
    <row r="131" spans="1:4" x14ac:dyDescent="0.2">
      <c r="A131" s="6" t="s">
        <v>1874</v>
      </c>
      <c r="B131" s="6" t="s">
        <v>1895</v>
      </c>
      <c r="C131" s="6" t="s">
        <v>1475</v>
      </c>
      <c r="D131" s="6" t="s">
        <v>2675</v>
      </c>
    </row>
    <row r="132" spans="1:4" x14ac:dyDescent="0.2">
      <c r="A132" s="6" t="s">
        <v>2016</v>
      </c>
      <c r="B132" s="6" t="s">
        <v>1882</v>
      </c>
      <c r="C132" s="6" t="s">
        <v>1886</v>
      </c>
      <c r="D132" s="6" t="s">
        <v>2677</v>
      </c>
    </row>
    <row r="133" spans="1:4" x14ac:dyDescent="0.2">
      <c r="A133" s="6" t="s">
        <v>2017</v>
      </c>
      <c r="B133" s="6" t="s">
        <v>1895</v>
      </c>
      <c r="C133" s="6" t="s">
        <v>1884</v>
      </c>
      <c r="D133" s="6" t="s">
        <v>2669</v>
      </c>
    </row>
    <row r="134" spans="1:4" x14ac:dyDescent="0.2">
      <c r="A134" s="6" t="s">
        <v>2018</v>
      </c>
      <c r="B134" s="6" t="s">
        <v>1895</v>
      </c>
      <c r="C134" s="6" t="s">
        <v>2681</v>
      </c>
      <c r="D134" s="6" t="s">
        <v>2667</v>
      </c>
    </row>
    <row r="135" spans="1:4" x14ac:dyDescent="0.2">
      <c r="A135" s="6" t="s">
        <v>2019</v>
      </c>
      <c r="B135" s="6" t="s">
        <v>1882</v>
      </c>
      <c r="C135" s="6" t="s">
        <v>1917</v>
      </c>
      <c r="D135" s="6" t="s">
        <v>1923</v>
      </c>
    </row>
    <row r="136" spans="1:4" x14ac:dyDescent="0.2">
      <c r="A136" s="6" t="s">
        <v>2020</v>
      </c>
      <c r="B136" s="6" t="s">
        <v>1895</v>
      </c>
      <c r="C136" s="6" t="s">
        <v>1886</v>
      </c>
      <c r="D136" s="6" t="s">
        <v>1887</v>
      </c>
    </row>
    <row r="137" spans="1:4" x14ac:dyDescent="0.2">
      <c r="A137" s="6" t="s">
        <v>2021</v>
      </c>
      <c r="B137" s="6" t="s">
        <v>1880</v>
      </c>
      <c r="C137" s="6" t="s">
        <v>1917</v>
      </c>
      <c r="D137" s="6" t="s">
        <v>1923</v>
      </c>
    </row>
    <row r="138" spans="1:4" x14ac:dyDescent="0.2">
      <c r="A138" s="6" t="s">
        <v>2022</v>
      </c>
      <c r="B138" s="6" t="s">
        <v>1895</v>
      </c>
      <c r="C138" s="6" t="s">
        <v>2681</v>
      </c>
      <c r="D138" s="6" t="s">
        <v>2667</v>
      </c>
    </row>
    <row r="139" spans="1:4" x14ac:dyDescent="0.2">
      <c r="A139" s="6" t="s">
        <v>2023</v>
      </c>
      <c r="B139" s="6" t="s">
        <v>1882</v>
      </c>
      <c r="C139" s="6" t="s">
        <v>1898</v>
      </c>
      <c r="D139" s="6" t="s">
        <v>2663</v>
      </c>
    </row>
    <row r="140" spans="1:4" x14ac:dyDescent="0.2">
      <c r="A140" s="6" t="s">
        <v>1866</v>
      </c>
      <c r="B140" s="6" t="s">
        <v>1909</v>
      </c>
      <c r="C140" s="6" t="s">
        <v>1475</v>
      </c>
      <c r="D140" s="6" t="s">
        <v>2675</v>
      </c>
    </row>
    <row r="141" spans="1:4" x14ac:dyDescent="0.2">
      <c r="A141" s="6" t="s">
        <v>2024</v>
      </c>
      <c r="B141" s="6" t="s">
        <v>1895</v>
      </c>
      <c r="C141" s="6" t="s">
        <v>1886</v>
      </c>
      <c r="D141" s="6" t="s">
        <v>1887</v>
      </c>
    </row>
    <row r="142" spans="1:4" x14ac:dyDescent="0.2">
      <c r="A142" s="6" t="s">
        <v>2025</v>
      </c>
      <c r="B142" s="6" t="s">
        <v>1895</v>
      </c>
      <c r="C142" s="6" t="s">
        <v>2683</v>
      </c>
      <c r="D142" s="6" t="s">
        <v>2685</v>
      </c>
    </row>
    <row r="143" spans="1:4" x14ac:dyDescent="0.2">
      <c r="A143" s="6" t="s">
        <v>2026</v>
      </c>
      <c r="B143" s="6" t="s">
        <v>1882</v>
      </c>
      <c r="C143" s="6" t="s">
        <v>2681</v>
      </c>
      <c r="D143" s="6" t="s">
        <v>2682</v>
      </c>
    </row>
    <row r="144" spans="1:4" x14ac:dyDescent="0.2">
      <c r="A144" s="6" t="s">
        <v>2027</v>
      </c>
      <c r="B144" s="6" t="s">
        <v>1895</v>
      </c>
      <c r="C144" s="6" t="s">
        <v>1886</v>
      </c>
      <c r="D144" s="6" t="s">
        <v>2674</v>
      </c>
    </row>
    <row r="145" spans="1:4" x14ac:dyDescent="0.2">
      <c r="A145" s="6" t="s">
        <v>2028</v>
      </c>
      <c r="B145" s="6" t="s">
        <v>1895</v>
      </c>
      <c r="C145" s="6" t="s">
        <v>1917</v>
      </c>
      <c r="D145" s="6" t="s">
        <v>2029</v>
      </c>
    </row>
    <row r="146" spans="1:4" x14ac:dyDescent="0.2">
      <c r="A146" s="6" t="s">
        <v>2030</v>
      </c>
      <c r="B146" s="6" t="s">
        <v>1882</v>
      </c>
      <c r="C146" s="6" t="s">
        <v>1475</v>
      </c>
      <c r="D146" s="6" t="s">
        <v>2675</v>
      </c>
    </row>
    <row r="147" spans="1:4" x14ac:dyDescent="0.2">
      <c r="A147" s="6" t="s">
        <v>2031</v>
      </c>
      <c r="B147" s="6" t="s">
        <v>1882</v>
      </c>
      <c r="C147" s="6" t="s">
        <v>1889</v>
      </c>
      <c r="D147" s="6" t="s">
        <v>1927</v>
      </c>
    </row>
    <row r="148" spans="1:4" x14ac:dyDescent="0.2">
      <c r="A148" s="6" t="s">
        <v>2032</v>
      </c>
      <c r="B148" s="6" t="s">
        <v>1895</v>
      </c>
      <c r="C148" s="6" t="s">
        <v>2681</v>
      </c>
      <c r="D148" s="6" t="s">
        <v>2682</v>
      </c>
    </row>
    <row r="149" spans="1:4" x14ac:dyDescent="0.2">
      <c r="A149" s="6" t="s">
        <v>2033</v>
      </c>
      <c r="B149" s="6" t="s">
        <v>1880</v>
      </c>
      <c r="C149" s="6" t="s">
        <v>1898</v>
      </c>
      <c r="D149" s="6" t="s">
        <v>2663</v>
      </c>
    </row>
    <row r="150" spans="1:4" x14ac:dyDescent="0.2">
      <c r="A150" s="6" t="s">
        <v>2034</v>
      </c>
      <c r="B150" s="6" t="s">
        <v>1895</v>
      </c>
      <c r="C150" s="6" t="s">
        <v>2683</v>
      </c>
      <c r="D150" s="6" t="s">
        <v>2684</v>
      </c>
    </row>
    <row r="151" spans="1:4" x14ac:dyDescent="0.2">
      <c r="A151" s="6" t="s">
        <v>2035</v>
      </c>
      <c r="B151" s="6" t="s">
        <v>1895</v>
      </c>
      <c r="C151" s="6" t="s">
        <v>1898</v>
      </c>
      <c r="D151" s="6" t="s">
        <v>2666</v>
      </c>
    </row>
    <row r="152" spans="1:4" x14ac:dyDescent="0.2">
      <c r="A152" s="6" t="s">
        <v>2036</v>
      </c>
      <c r="B152" s="6" t="s">
        <v>1880</v>
      </c>
      <c r="C152" s="6" t="s">
        <v>1886</v>
      </c>
      <c r="D152" s="6" t="s">
        <v>1887</v>
      </c>
    </row>
    <row r="153" spans="1:4" x14ac:dyDescent="0.2">
      <c r="A153" s="6" t="s">
        <v>2037</v>
      </c>
      <c r="B153" s="6" t="s">
        <v>1895</v>
      </c>
      <c r="C153" s="6" t="s">
        <v>1889</v>
      </c>
      <c r="D153" s="6" t="s">
        <v>1927</v>
      </c>
    </row>
    <row r="154" spans="1:4" x14ac:dyDescent="0.2">
      <c r="A154" s="6" t="s">
        <v>2038</v>
      </c>
      <c r="B154" s="6" t="s">
        <v>1880</v>
      </c>
      <c r="C154" s="6" t="s">
        <v>1884</v>
      </c>
      <c r="D154" s="6" t="s">
        <v>2673</v>
      </c>
    </row>
    <row r="155" spans="1:4" x14ac:dyDescent="0.2">
      <c r="A155" s="6" t="s">
        <v>2039</v>
      </c>
      <c r="B155" s="6" t="s">
        <v>1880</v>
      </c>
      <c r="C155" s="6" t="s">
        <v>1917</v>
      </c>
      <c r="D155" s="6" t="s">
        <v>2679</v>
      </c>
    </row>
    <row r="156" spans="1:4" x14ac:dyDescent="0.2">
      <c r="A156" s="6" t="s">
        <v>2040</v>
      </c>
      <c r="B156" s="6" t="s">
        <v>1880</v>
      </c>
      <c r="C156" s="6" t="s">
        <v>1884</v>
      </c>
      <c r="D156" s="6" t="s">
        <v>2676</v>
      </c>
    </row>
    <row r="157" spans="1:4" x14ac:dyDescent="0.2">
      <c r="A157" s="6" t="s">
        <v>2041</v>
      </c>
      <c r="B157" s="6" t="s">
        <v>1882</v>
      </c>
      <c r="C157" s="6" t="s">
        <v>1917</v>
      </c>
      <c r="D157" s="6" t="s">
        <v>2679</v>
      </c>
    </row>
    <row r="158" spans="1:4" x14ac:dyDescent="0.2">
      <c r="A158" s="6" t="s">
        <v>2042</v>
      </c>
      <c r="B158" s="6" t="s">
        <v>1882</v>
      </c>
      <c r="C158" s="6" t="s">
        <v>1886</v>
      </c>
      <c r="D158" s="6" t="s">
        <v>1887</v>
      </c>
    </row>
    <row r="159" spans="1:4" x14ac:dyDescent="0.2">
      <c r="A159" s="6" t="s">
        <v>2043</v>
      </c>
      <c r="B159" s="6" t="s">
        <v>1882</v>
      </c>
      <c r="C159" s="6" t="s">
        <v>1917</v>
      </c>
      <c r="D159" s="6" t="s">
        <v>1923</v>
      </c>
    </row>
    <row r="160" spans="1:4" x14ac:dyDescent="0.2">
      <c r="A160" s="6" t="s">
        <v>2044</v>
      </c>
      <c r="B160" s="6" t="s">
        <v>1880</v>
      </c>
      <c r="C160" s="6" t="s">
        <v>1886</v>
      </c>
      <c r="D160" s="6" t="s">
        <v>1887</v>
      </c>
    </row>
    <row r="161" spans="1:4" x14ac:dyDescent="0.2">
      <c r="A161" s="6" t="s">
        <v>2045</v>
      </c>
      <c r="B161" s="6" t="s">
        <v>1882</v>
      </c>
      <c r="C161" s="6" t="s">
        <v>1475</v>
      </c>
      <c r="D161" s="6" t="s">
        <v>2675</v>
      </c>
    </row>
    <row r="162" spans="1:4" x14ac:dyDescent="0.2">
      <c r="A162" s="6" t="s">
        <v>2046</v>
      </c>
      <c r="B162" s="6" t="s">
        <v>1895</v>
      </c>
      <c r="C162" s="6" t="s">
        <v>1898</v>
      </c>
      <c r="D162" s="6" t="s">
        <v>2671</v>
      </c>
    </row>
    <row r="163" spans="1:4" x14ac:dyDescent="0.2">
      <c r="A163" s="6" t="s">
        <v>1864</v>
      </c>
      <c r="B163" s="6" t="s">
        <v>1882</v>
      </c>
      <c r="C163" s="6" t="s">
        <v>1475</v>
      </c>
      <c r="D163" s="6" t="s">
        <v>2665</v>
      </c>
    </row>
    <row r="164" spans="1:4" x14ac:dyDescent="0.2">
      <c r="A164" s="6" t="s">
        <v>2047</v>
      </c>
      <c r="B164" s="6" t="s">
        <v>1895</v>
      </c>
      <c r="C164" s="6" t="s">
        <v>1889</v>
      </c>
      <c r="D164" s="6" t="s">
        <v>2680</v>
      </c>
    </row>
    <row r="165" spans="1:4" x14ac:dyDescent="0.2">
      <c r="A165" s="6" t="s">
        <v>2048</v>
      </c>
      <c r="B165" s="6" t="s">
        <v>1882</v>
      </c>
      <c r="C165" s="6" t="s">
        <v>1475</v>
      </c>
      <c r="D165" s="6" t="s">
        <v>2668</v>
      </c>
    </row>
    <row r="166" spans="1:4" x14ac:dyDescent="0.2">
      <c r="A166" s="6" t="s">
        <v>2049</v>
      </c>
      <c r="B166" s="6" t="s">
        <v>1882</v>
      </c>
      <c r="C166" s="6" t="s">
        <v>1917</v>
      </c>
      <c r="D166" s="6" t="s">
        <v>2679</v>
      </c>
    </row>
    <row r="167" spans="1:4" x14ac:dyDescent="0.2">
      <c r="A167" s="6" t="s">
        <v>2050</v>
      </c>
      <c r="B167" s="6" t="s">
        <v>1895</v>
      </c>
      <c r="C167" s="6" t="s">
        <v>1898</v>
      </c>
      <c r="D167" s="6" t="s">
        <v>2671</v>
      </c>
    </row>
    <row r="168" spans="1:4" x14ac:dyDescent="0.2">
      <c r="A168" s="6" t="s">
        <v>2051</v>
      </c>
      <c r="B168" s="6" t="s">
        <v>1882</v>
      </c>
      <c r="C168" s="6" t="s">
        <v>1475</v>
      </c>
      <c r="D168" s="6" t="s">
        <v>2675</v>
      </c>
    </row>
    <row r="169" spans="1:4" x14ac:dyDescent="0.2">
      <c r="A169" s="6" t="s">
        <v>2052</v>
      </c>
      <c r="B169" s="6" t="s">
        <v>1895</v>
      </c>
      <c r="C169" s="6" t="s">
        <v>2681</v>
      </c>
      <c r="D169" s="6" t="s">
        <v>2664</v>
      </c>
    </row>
    <row r="170" spans="1:4" x14ac:dyDescent="0.2">
      <c r="A170" s="6" t="s">
        <v>2053</v>
      </c>
      <c r="B170" s="6" t="s">
        <v>1882</v>
      </c>
      <c r="C170" s="6" t="s">
        <v>1886</v>
      </c>
      <c r="D170" s="6" t="s">
        <v>2677</v>
      </c>
    </row>
    <row r="171" spans="1:4" x14ac:dyDescent="0.2">
      <c r="A171" s="6" t="s">
        <v>1859</v>
      </c>
      <c r="B171" s="6" t="s">
        <v>1880</v>
      </c>
      <c r="C171" s="6" t="s">
        <v>1475</v>
      </c>
      <c r="D171" s="6" t="s">
        <v>2668</v>
      </c>
    </row>
    <row r="172" spans="1:4" x14ac:dyDescent="0.2">
      <c r="A172" s="6" t="s">
        <v>2054</v>
      </c>
      <c r="B172" s="6" t="s">
        <v>1895</v>
      </c>
      <c r="C172" s="6" t="s">
        <v>1475</v>
      </c>
      <c r="D172" s="6" t="s">
        <v>2675</v>
      </c>
    </row>
    <row r="173" spans="1:4" x14ac:dyDescent="0.2">
      <c r="A173" s="6" t="s">
        <v>2055</v>
      </c>
      <c r="B173" s="6" t="s">
        <v>1880</v>
      </c>
      <c r="C173" s="6" t="s">
        <v>1898</v>
      </c>
      <c r="D173" s="6" t="s">
        <v>2663</v>
      </c>
    </row>
    <row r="174" spans="1:4" x14ac:dyDescent="0.2">
      <c r="A174" s="6" t="s">
        <v>1862</v>
      </c>
      <c r="B174" s="6" t="s">
        <v>1882</v>
      </c>
      <c r="C174" s="6" t="s">
        <v>1475</v>
      </c>
      <c r="D174" s="6" t="s">
        <v>2665</v>
      </c>
    </row>
    <row r="175" spans="1:4" x14ac:dyDescent="0.2">
      <c r="A175" s="6" t="s">
        <v>2056</v>
      </c>
      <c r="B175" s="6" t="s">
        <v>1895</v>
      </c>
      <c r="C175" s="6" t="s">
        <v>1898</v>
      </c>
      <c r="D175" s="6" t="s">
        <v>2671</v>
      </c>
    </row>
    <row r="176" spans="1:4" x14ac:dyDescent="0.2">
      <c r="A176" s="6" t="s">
        <v>2057</v>
      </c>
      <c r="B176" s="6" t="s">
        <v>1880</v>
      </c>
      <c r="C176" s="6" t="s">
        <v>1884</v>
      </c>
      <c r="D176" s="6" t="s">
        <v>2669</v>
      </c>
    </row>
    <row r="177" spans="1:4" x14ac:dyDescent="0.2">
      <c r="A177" s="6" t="s">
        <v>2058</v>
      </c>
      <c r="B177" s="6" t="s">
        <v>1880</v>
      </c>
      <c r="C177" s="6" t="s">
        <v>1917</v>
      </c>
      <c r="D177" s="6" t="s">
        <v>2679</v>
      </c>
    </row>
    <row r="178" spans="1:4" x14ac:dyDescent="0.2">
      <c r="A178" s="6" t="s">
        <v>2059</v>
      </c>
      <c r="B178" s="6" t="s">
        <v>1880</v>
      </c>
      <c r="C178" s="6" t="s">
        <v>1884</v>
      </c>
      <c r="D178" s="6" t="s">
        <v>2673</v>
      </c>
    </row>
    <row r="179" spans="1:4" x14ac:dyDescent="0.2">
      <c r="A179" s="6" t="s">
        <v>2060</v>
      </c>
      <c r="B179" s="6" t="s">
        <v>1882</v>
      </c>
      <c r="C179" s="6" t="s">
        <v>1917</v>
      </c>
      <c r="D179" s="6" t="s">
        <v>2679</v>
      </c>
    </row>
    <row r="180" spans="1:4" x14ac:dyDescent="0.2">
      <c r="A180" s="6" t="s">
        <v>2061</v>
      </c>
      <c r="B180" s="6" t="s">
        <v>1893</v>
      </c>
      <c r="C180" s="6" t="s">
        <v>1884</v>
      </c>
      <c r="D180" s="6" t="s">
        <v>2673</v>
      </c>
    </row>
    <row r="181" spans="1:4" x14ac:dyDescent="0.2">
      <c r="A181" s="6" t="s">
        <v>2062</v>
      </c>
      <c r="B181" s="6" t="s">
        <v>1880</v>
      </c>
      <c r="C181" s="6" t="s">
        <v>1884</v>
      </c>
      <c r="D181" s="6" t="s">
        <v>2669</v>
      </c>
    </row>
    <row r="182" spans="1:4" x14ac:dyDescent="0.2">
      <c r="A182" s="6" t="s">
        <v>2063</v>
      </c>
      <c r="B182" s="6" t="s">
        <v>1882</v>
      </c>
      <c r="C182" s="6" t="s">
        <v>1884</v>
      </c>
      <c r="D182" s="6" t="s">
        <v>2669</v>
      </c>
    </row>
    <row r="183" spans="1:4" x14ac:dyDescent="0.2">
      <c r="A183" s="6" t="s">
        <v>2064</v>
      </c>
      <c r="B183" s="6" t="s">
        <v>1895</v>
      </c>
      <c r="C183" s="6" t="s">
        <v>1889</v>
      </c>
      <c r="D183" s="6" t="s">
        <v>1927</v>
      </c>
    </row>
    <row r="184" spans="1:4" x14ac:dyDescent="0.2">
      <c r="A184" s="6" t="s">
        <v>2065</v>
      </c>
      <c r="B184" s="6" t="s">
        <v>1882</v>
      </c>
      <c r="C184" s="6" t="s">
        <v>1884</v>
      </c>
      <c r="D184" s="6" t="s">
        <v>2673</v>
      </c>
    </row>
    <row r="185" spans="1:4" x14ac:dyDescent="0.2">
      <c r="A185" s="6" t="s">
        <v>2066</v>
      </c>
      <c r="B185" s="6" t="s">
        <v>1882</v>
      </c>
      <c r="C185" s="6" t="s">
        <v>1475</v>
      </c>
      <c r="D185" s="6" t="s">
        <v>2675</v>
      </c>
    </row>
    <row r="186" spans="1:4" x14ac:dyDescent="0.2">
      <c r="A186" s="6" t="s">
        <v>2067</v>
      </c>
      <c r="B186" s="6" t="s">
        <v>1895</v>
      </c>
      <c r="C186" s="6" t="s">
        <v>1898</v>
      </c>
      <c r="D186" s="6" t="s">
        <v>2663</v>
      </c>
    </row>
    <row r="187" spans="1:4" x14ac:dyDescent="0.2">
      <c r="A187" s="6" t="s">
        <v>2068</v>
      </c>
      <c r="B187" s="6" t="s">
        <v>1880</v>
      </c>
      <c r="C187" s="6" t="s">
        <v>1475</v>
      </c>
      <c r="D187" s="6" t="s">
        <v>2675</v>
      </c>
    </row>
    <row r="188" spans="1:4" x14ac:dyDescent="0.2">
      <c r="A188" s="6" t="s">
        <v>2069</v>
      </c>
      <c r="B188" s="6" t="s">
        <v>1882</v>
      </c>
      <c r="C188" s="6" t="s">
        <v>1917</v>
      </c>
      <c r="D188" s="6" t="s">
        <v>2679</v>
      </c>
    </row>
    <row r="189" spans="1:4" x14ac:dyDescent="0.2">
      <c r="A189" s="6" t="s">
        <v>2070</v>
      </c>
      <c r="B189" s="6" t="s">
        <v>1882</v>
      </c>
      <c r="C189" s="6" t="s">
        <v>1884</v>
      </c>
      <c r="D189" s="6" t="s">
        <v>2669</v>
      </c>
    </row>
    <row r="190" spans="1:4" x14ac:dyDescent="0.2">
      <c r="A190" s="6" t="s">
        <v>2071</v>
      </c>
      <c r="B190" s="6" t="s">
        <v>1882</v>
      </c>
      <c r="C190" s="6" t="s">
        <v>1886</v>
      </c>
      <c r="D190" s="6" t="s">
        <v>1941</v>
      </c>
    </row>
    <row r="191" spans="1:4" x14ac:dyDescent="0.2">
      <c r="A191" s="6" t="s">
        <v>2072</v>
      </c>
      <c r="B191" s="6" t="s">
        <v>1895</v>
      </c>
      <c r="C191" s="6" t="s">
        <v>1917</v>
      </c>
      <c r="D191" s="6" t="s">
        <v>2679</v>
      </c>
    </row>
    <row r="192" spans="1:4" x14ac:dyDescent="0.2">
      <c r="A192" s="6" t="s">
        <v>2073</v>
      </c>
      <c r="B192" s="6" t="s">
        <v>1882</v>
      </c>
      <c r="C192" s="6" t="s">
        <v>1886</v>
      </c>
      <c r="D192" s="6" t="s">
        <v>2674</v>
      </c>
    </row>
    <row r="193" spans="1:4" x14ac:dyDescent="0.2">
      <c r="A193" s="6" t="s">
        <v>2074</v>
      </c>
      <c r="B193" s="6" t="s">
        <v>1882</v>
      </c>
      <c r="C193" s="6" t="s">
        <v>1886</v>
      </c>
      <c r="D193" s="6" t="s">
        <v>2674</v>
      </c>
    </row>
    <row r="194" spans="1:4" x14ac:dyDescent="0.2">
      <c r="A194" s="6" t="s">
        <v>2075</v>
      </c>
      <c r="B194" s="6" t="s">
        <v>1880</v>
      </c>
      <c r="C194" s="6" t="s">
        <v>1886</v>
      </c>
      <c r="D194" s="6" t="s">
        <v>1941</v>
      </c>
    </row>
    <row r="195" spans="1:4" x14ac:dyDescent="0.2">
      <c r="A195" s="6" t="s">
        <v>2076</v>
      </c>
      <c r="B195" s="6" t="s">
        <v>1882</v>
      </c>
      <c r="C195" s="6" t="s">
        <v>1475</v>
      </c>
      <c r="D195" s="6" t="s">
        <v>2668</v>
      </c>
    </row>
    <row r="196" spans="1:4" x14ac:dyDescent="0.2">
      <c r="A196" s="6" t="s">
        <v>2077</v>
      </c>
      <c r="B196" s="6" t="s">
        <v>1882</v>
      </c>
      <c r="C196" s="6" t="s">
        <v>1898</v>
      </c>
      <c r="D196" s="6" t="s">
        <v>2666</v>
      </c>
    </row>
    <row r="197" spans="1:4" x14ac:dyDescent="0.2">
      <c r="A197" s="6" t="s">
        <v>2078</v>
      </c>
      <c r="B197" s="6" t="s">
        <v>1895</v>
      </c>
      <c r="C197" s="6" t="s">
        <v>1884</v>
      </c>
      <c r="D197" s="6" t="s">
        <v>2672</v>
      </c>
    </row>
    <row r="198" spans="1:4" x14ac:dyDescent="0.2">
      <c r="A198" s="6" t="s">
        <v>2079</v>
      </c>
      <c r="B198" s="6" t="s">
        <v>1909</v>
      </c>
      <c r="C198" s="6" t="s">
        <v>1898</v>
      </c>
      <c r="D198" s="6" t="s">
        <v>2671</v>
      </c>
    </row>
    <row r="199" spans="1:4" x14ac:dyDescent="0.2">
      <c r="A199" s="6" t="s">
        <v>2080</v>
      </c>
      <c r="B199" s="6" t="s">
        <v>1880</v>
      </c>
      <c r="C199" s="6" t="s">
        <v>1898</v>
      </c>
      <c r="D199" s="6" t="s">
        <v>2663</v>
      </c>
    </row>
    <row r="200" spans="1:4" x14ac:dyDescent="0.2">
      <c r="A200" s="6" t="s">
        <v>2081</v>
      </c>
      <c r="B200" s="6" t="s">
        <v>1882</v>
      </c>
      <c r="C200" s="6" t="s">
        <v>1884</v>
      </c>
      <c r="D200" s="6" t="s">
        <v>2673</v>
      </c>
    </row>
    <row r="201" spans="1:4" x14ac:dyDescent="0.2">
      <c r="A201" s="6" t="s">
        <v>2082</v>
      </c>
      <c r="B201" s="6" t="s">
        <v>1895</v>
      </c>
      <c r="C201" s="6" t="s">
        <v>1917</v>
      </c>
      <c r="D201" s="6" t="s">
        <v>2029</v>
      </c>
    </row>
    <row r="202" spans="1:4" x14ac:dyDescent="0.2">
      <c r="A202" s="6" t="s">
        <v>2083</v>
      </c>
      <c r="B202" s="6" t="s">
        <v>1882</v>
      </c>
      <c r="C202" s="6" t="s">
        <v>1898</v>
      </c>
      <c r="D202" s="6" t="s">
        <v>2666</v>
      </c>
    </row>
    <row r="203" spans="1:4" x14ac:dyDescent="0.2">
      <c r="A203" s="6" t="s">
        <v>2084</v>
      </c>
      <c r="B203" s="6" t="s">
        <v>1882</v>
      </c>
      <c r="C203" s="6" t="s">
        <v>1917</v>
      </c>
      <c r="D203" s="6" t="s">
        <v>1923</v>
      </c>
    </row>
    <row r="204" spans="1:4" x14ac:dyDescent="0.2">
      <c r="A204" s="6" t="s">
        <v>2085</v>
      </c>
      <c r="B204" s="6" t="s">
        <v>1895</v>
      </c>
      <c r="C204" s="6" t="s">
        <v>2683</v>
      </c>
      <c r="D204" s="6" t="s">
        <v>2684</v>
      </c>
    </row>
    <row r="205" spans="1:4" x14ac:dyDescent="0.2">
      <c r="A205" s="6" t="s">
        <v>2086</v>
      </c>
      <c r="B205" s="6" t="s">
        <v>1882</v>
      </c>
      <c r="C205" s="6" t="s">
        <v>1886</v>
      </c>
      <c r="D205" s="6" t="s">
        <v>2674</v>
      </c>
    </row>
    <row r="206" spans="1:4" x14ac:dyDescent="0.2">
      <c r="A206" s="6" t="s">
        <v>2087</v>
      </c>
      <c r="B206" s="6" t="s">
        <v>1895</v>
      </c>
      <c r="C206" s="6" t="s">
        <v>1884</v>
      </c>
      <c r="D206" s="6" t="s">
        <v>2672</v>
      </c>
    </row>
    <row r="207" spans="1:4" x14ac:dyDescent="0.2">
      <c r="A207" s="6" t="s">
        <v>2088</v>
      </c>
      <c r="B207" s="6" t="s">
        <v>1895</v>
      </c>
      <c r="C207" s="6" t="s">
        <v>1884</v>
      </c>
      <c r="D207" s="6" t="s">
        <v>2676</v>
      </c>
    </row>
    <row r="208" spans="1:4" x14ac:dyDescent="0.2">
      <c r="A208" s="6" t="s">
        <v>2089</v>
      </c>
      <c r="B208" s="6" t="s">
        <v>1895</v>
      </c>
      <c r="C208" s="6" t="s">
        <v>1917</v>
      </c>
      <c r="D208" s="6" t="s">
        <v>1923</v>
      </c>
    </row>
    <row r="209" spans="1:4" x14ac:dyDescent="0.2">
      <c r="A209" s="6" t="s">
        <v>2090</v>
      </c>
      <c r="B209" s="6" t="s">
        <v>1895</v>
      </c>
      <c r="C209" s="6" t="s">
        <v>1884</v>
      </c>
      <c r="D209" s="6" t="s">
        <v>2676</v>
      </c>
    </row>
    <row r="210" spans="1:4" x14ac:dyDescent="0.2">
      <c r="A210" s="6" t="s">
        <v>2091</v>
      </c>
      <c r="B210" s="6" t="s">
        <v>1882</v>
      </c>
      <c r="C210" s="6" t="s">
        <v>1889</v>
      </c>
      <c r="D210" s="6" t="s">
        <v>2678</v>
      </c>
    </row>
    <row r="211" spans="1:4" x14ac:dyDescent="0.2">
      <c r="A211" s="6" t="s">
        <v>2092</v>
      </c>
      <c r="B211" s="6" t="s">
        <v>1909</v>
      </c>
      <c r="C211" s="6" t="s">
        <v>1886</v>
      </c>
      <c r="D211" s="6" t="s">
        <v>2674</v>
      </c>
    </row>
    <row r="212" spans="1:4" x14ac:dyDescent="0.2">
      <c r="A212" s="6" t="s">
        <v>2093</v>
      </c>
      <c r="B212" s="6" t="s">
        <v>1882</v>
      </c>
      <c r="C212" s="6" t="s">
        <v>1917</v>
      </c>
      <c r="D212" s="6" t="s">
        <v>2679</v>
      </c>
    </row>
    <row r="213" spans="1:4" x14ac:dyDescent="0.2">
      <c r="A213" s="6" t="s">
        <v>2094</v>
      </c>
      <c r="B213" s="6" t="s">
        <v>1882</v>
      </c>
      <c r="C213" s="6" t="s">
        <v>1886</v>
      </c>
      <c r="D213" s="6" t="s">
        <v>2674</v>
      </c>
    </row>
    <row r="214" spans="1:4" x14ac:dyDescent="0.2">
      <c r="A214" s="6" t="s">
        <v>2095</v>
      </c>
      <c r="B214" s="6" t="s">
        <v>1895</v>
      </c>
      <c r="C214" s="6" t="s">
        <v>1884</v>
      </c>
      <c r="D214" s="6" t="s">
        <v>2686</v>
      </c>
    </row>
    <row r="215" spans="1:4" x14ac:dyDescent="0.2">
      <c r="A215" s="6" t="s">
        <v>2096</v>
      </c>
      <c r="B215" s="6" t="s">
        <v>1882</v>
      </c>
      <c r="C215" s="6" t="s">
        <v>1886</v>
      </c>
      <c r="D215" s="6" t="s">
        <v>2674</v>
      </c>
    </row>
    <row r="216" spans="1:4" x14ac:dyDescent="0.2">
      <c r="A216" s="6" t="s">
        <v>2097</v>
      </c>
      <c r="B216" s="6" t="s">
        <v>1893</v>
      </c>
      <c r="C216" s="6" t="s">
        <v>1898</v>
      </c>
      <c r="D216" s="6" t="s">
        <v>2666</v>
      </c>
    </row>
    <row r="217" spans="1:4" x14ac:dyDescent="0.2">
      <c r="A217" s="6" t="s">
        <v>2098</v>
      </c>
      <c r="B217" s="6" t="s">
        <v>1895</v>
      </c>
      <c r="C217" s="6" t="s">
        <v>1889</v>
      </c>
      <c r="D217" s="6" t="s">
        <v>2678</v>
      </c>
    </row>
    <row r="218" spans="1:4" x14ac:dyDescent="0.2">
      <c r="A218" s="6" t="s">
        <v>2099</v>
      </c>
      <c r="B218" s="6" t="s">
        <v>1880</v>
      </c>
      <c r="C218" s="6" t="s">
        <v>1884</v>
      </c>
      <c r="D218" s="6" t="s">
        <v>2673</v>
      </c>
    </row>
    <row r="219" spans="1:4" x14ac:dyDescent="0.2">
      <c r="A219" s="6" t="s">
        <v>2100</v>
      </c>
      <c r="B219" s="6" t="s">
        <v>1895</v>
      </c>
      <c r="C219" s="6" t="s">
        <v>1886</v>
      </c>
      <c r="D219" s="6" t="s">
        <v>1941</v>
      </c>
    </row>
    <row r="220" spans="1:4" x14ac:dyDescent="0.2">
      <c r="A220" s="6" t="s">
        <v>2101</v>
      </c>
      <c r="B220" s="6" t="s">
        <v>1895</v>
      </c>
      <c r="C220" s="6" t="s">
        <v>1889</v>
      </c>
      <c r="D220" s="6" t="s">
        <v>1927</v>
      </c>
    </row>
    <row r="221" spans="1:4" x14ac:dyDescent="0.2">
      <c r="A221" s="6" t="s">
        <v>2102</v>
      </c>
      <c r="B221" s="6" t="s">
        <v>1882</v>
      </c>
      <c r="C221" s="6" t="s">
        <v>1884</v>
      </c>
      <c r="D221" s="6" t="s">
        <v>2676</v>
      </c>
    </row>
    <row r="222" spans="1:4" x14ac:dyDescent="0.2">
      <c r="A222" s="6" t="s">
        <v>2103</v>
      </c>
      <c r="B222" s="6" t="s">
        <v>1880</v>
      </c>
      <c r="C222" s="6" t="s">
        <v>1475</v>
      </c>
      <c r="D222" s="6" t="s">
        <v>2675</v>
      </c>
    </row>
    <row r="223" spans="1:4" x14ac:dyDescent="0.2">
      <c r="A223" s="6" t="s">
        <v>2104</v>
      </c>
      <c r="B223" s="6" t="s">
        <v>1895</v>
      </c>
      <c r="C223" s="6" t="s">
        <v>2681</v>
      </c>
      <c r="D223" s="6" t="s">
        <v>2667</v>
      </c>
    </row>
    <row r="224" spans="1:4" x14ac:dyDescent="0.2">
      <c r="A224" s="6" t="s">
        <v>2105</v>
      </c>
      <c r="B224" s="6" t="s">
        <v>1882</v>
      </c>
      <c r="C224" s="6" t="s">
        <v>2681</v>
      </c>
      <c r="D224" s="6" t="s">
        <v>2667</v>
      </c>
    </row>
    <row r="225" spans="1:4" x14ac:dyDescent="0.2">
      <c r="A225" s="6" t="s">
        <v>2106</v>
      </c>
      <c r="B225" s="6" t="s">
        <v>1895</v>
      </c>
      <c r="C225" s="6" t="s">
        <v>1917</v>
      </c>
      <c r="D225" s="6" t="s">
        <v>1923</v>
      </c>
    </row>
    <row r="226" spans="1:4" x14ac:dyDescent="0.2">
      <c r="A226" s="6" t="s">
        <v>2107</v>
      </c>
      <c r="B226" s="6" t="s">
        <v>1882</v>
      </c>
      <c r="C226" s="6" t="s">
        <v>1898</v>
      </c>
      <c r="D226" s="6" t="s">
        <v>2663</v>
      </c>
    </row>
    <row r="227" spans="1:4" x14ac:dyDescent="0.2">
      <c r="A227" s="6" t="s">
        <v>2108</v>
      </c>
      <c r="B227" s="6" t="s">
        <v>1882</v>
      </c>
      <c r="C227" s="6" t="s">
        <v>1884</v>
      </c>
      <c r="D227" s="6" t="s">
        <v>2676</v>
      </c>
    </row>
    <row r="228" spans="1:4" x14ac:dyDescent="0.2">
      <c r="A228" s="6" t="s">
        <v>2109</v>
      </c>
      <c r="B228" s="6" t="s">
        <v>1895</v>
      </c>
      <c r="C228" s="6" t="s">
        <v>2681</v>
      </c>
      <c r="D228" s="6" t="s">
        <v>2667</v>
      </c>
    </row>
    <row r="229" spans="1:4" x14ac:dyDescent="0.2">
      <c r="A229" s="6" t="s">
        <v>2110</v>
      </c>
      <c r="B229" s="6" t="s">
        <v>1882</v>
      </c>
      <c r="C229" s="6" t="s">
        <v>1884</v>
      </c>
      <c r="D229" s="6" t="s">
        <v>2676</v>
      </c>
    </row>
    <row r="230" spans="1:4" x14ac:dyDescent="0.2">
      <c r="A230" s="6" t="s">
        <v>2111</v>
      </c>
      <c r="B230" s="6" t="s">
        <v>1882</v>
      </c>
      <c r="C230" s="6" t="s">
        <v>1886</v>
      </c>
      <c r="D230" s="6" t="s">
        <v>1887</v>
      </c>
    </row>
    <row r="231" spans="1:4" x14ac:dyDescent="0.2">
      <c r="A231" s="6" t="s">
        <v>1860</v>
      </c>
      <c r="B231" s="6" t="s">
        <v>1882</v>
      </c>
      <c r="C231" s="6" t="s">
        <v>1475</v>
      </c>
      <c r="D231" s="6" t="s">
        <v>2665</v>
      </c>
    </row>
    <row r="232" spans="1:4" x14ac:dyDescent="0.2">
      <c r="A232" s="6" t="s">
        <v>2112</v>
      </c>
      <c r="B232" s="6" t="s">
        <v>1880</v>
      </c>
      <c r="C232" s="6" t="s">
        <v>1475</v>
      </c>
      <c r="D232" s="6" t="s">
        <v>2675</v>
      </c>
    </row>
    <row r="233" spans="1:4" x14ac:dyDescent="0.2">
      <c r="A233" s="6" t="s">
        <v>2113</v>
      </c>
      <c r="B233" s="6" t="s">
        <v>1895</v>
      </c>
      <c r="C233" s="6" t="s">
        <v>1884</v>
      </c>
      <c r="D233" s="6" t="s">
        <v>2672</v>
      </c>
    </row>
    <row r="234" spans="1:4" x14ac:dyDescent="0.2">
      <c r="A234" s="6" t="s">
        <v>2114</v>
      </c>
      <c r="B234" s="6" t="s">
        <v>1882</v>
      </c>
      <c r="C234" s="6" t="s">
        <v>1917</v>
      </c>
      <c r="D234" s="6" t="s">
        <v>2679</v>
      </c>
    </row>
    <row r="235" spans="1:4" x14ac:dyDescent="0.2">
      <c r="A235" s="6" t="s">
        <v>2115</v>
      </c>
      <c r="B235" s="6" t="s">
        <v>1882</v>
      </c>
      <c r="C235" s="6" t="s">
        <v>1889</v>
      </c>
      <c r="D235" s="6" t="s">
        <v>1927</v>
      </c>
    </row>
    <row r="236" spans="1:4" x14ac:dyDescent="0.2">
      <c r="A236" s="6" t="s">
        <v>2116</v>
      </c>
      <c r="B236" s="6" t="s">
        <v>1895</v>
      </c>
      <c r="C236" s="6" t="s">
        <v>2681</v>
      </c>
      <c r="D236" s="6" t="s">
        <v>2660</v>
      </c>
    </row>
    <row r="237" spans="1:4" x14ac:dyDescent="0.2">
      <c r="A237" s="6" t="s">
        <v>2117</v>
      </c>
      <c r="B237" s="6" t="s">
        <v>1880</v>
      </c>
      <c r="C237" s="6" t="s">
        <v>1884</v>
      </c>
      <c r="D237" s="6" t="s">
        <v>2669</v>
      </c>
    </row>
    <row r="238" spans="1:4" x14ac:dyDescent="0.2">
      <c r="A238" s="6" t="s">
        <v>2118</v>
      </c>
      <c r="B238" s="6" t="s">
        <v>1882</v>
      </c>
      <c r="C238" s="6" t="s">
        <v>1884</v>
      </c>
      <c r="D238" s="6" t="s">
        <v>2672</v>
      </c>
    </row>
    <row r="239" spans="1:4" x14ac:dyDescent="0.2">
      <c r="A239" s="6" t="s">
        <v>2119</v>
      </c>
      <c r="B239" s="6" t="s">
        <v>1882</v>
      </c>
      <c r="C239" s="6" t="s">
        <v>1898</v>
      </c>
      <c r="D239" s="6" t="s">
        <v>2666</v>
      </c>
    </row>
    <row r="240" spans="1:4" x14ac:dyDescent="0.2">
      <c r="A240" s="6" t="s">
        <v>2120</v>
      </c>
      <c r="B240" s="6" t="s">
        <v>1880</v>
      </c>
      <c r="C240" s="6" t="s">
        <v>1898</v>
      </c>
      <c r="D240" s="6" t="s">
        <v>2671</v>
      </c>
    </row>
    <row r="241" spans="1:4" x14ac:dyDescent="0.2">
      <c r="A241" s="6" t="s">
        <v>2121</v>
      </c>
      <c r="B241" s="6" t="s">
        <v>1882</v>
      </c>
      <c r="C241" s="6" t="s">
        <v>1917</v>
      </c>
      <c r="D241" s="6" t="s">
        <v>1923</v>
      </c>
    </row>
    <row r="242" spans="1:4" x14ac:dyDescent="0.2">
      <c r="A242" s="6" t="s">
        <v>2122</v>
      </c>
      <c r="B242" s="6" t="s">
        <v>1895</v>
      </c>
      <c r="C242" s="6" t="s">
        <v>1884</v>
      </c>
      <c r="D242" s="6" t="s">
        <v>2686</v>
      </c>
    </row>
    <row r="243" spans="1:4" x14ac:dyDescent="0.2">
      <c r="A243" s="6" t="s">
        <v>2123</v>
      </c>
      <c r="B243" s="6" t="s">
        <v>1880</v>
      </c>
      <c r="C243" s="6" t="s">
        <v>2683</v>
      </c>
      <c r="D243" s="6" t="s">
        <v>2685</v>
      </c>
    </row>
    <row r="244" spans="1:4" x14ac:dyDescent="0.2">
      <c r="A244" s="6" t="s">
        <v>2124</v>
      </c>
      <c r="B244" s="6" t="s">
        <v>1880</v>
      </c>
      <c r="C244" s="6" t="s">
        <v>1898</v>
      </c>
      <c r="D244" s="6" t="s">
        <v>2666</v>
      </c>
    </row>
    <row r="245" spans="1:4" x14ac:dyDescent="0.2">
      <c r="A245" s="6" t="s">
        <v>2125</v>
      </c>
      <c r="B245" s="6" t="s">
        <v>1882</v>
      </c>
      <c r="C245" s="6" t="s">
        <v>1884</v>
      </c>
      <c r="D245" s="6" t="s">
        <v>2676</v>
      </c>
    </row>
    <row r="246" spans="1:4" x14ac:dyDescent="0.2">
      <c r="A246" s="6" t="s">
        <v>2126</v>
      </c>
      <c r="B246" s="6" t="s">
        <v>1895</v>
      </c>
      <c r="C246" s="6" t="s">
        <v>1917</v>
      </c>
      <c r="D246" s="6" t="s">
        <v>2679</v>
      </c>
    </row>
    <row r="247" spans="1:4" x14ac:dyDescent="0.2">
      <c r="A247" s="6" t="s">
        <v>2127</v>
      </c>
      <c r="B247" s="6" t="s">
        <v>1880</v>
      </c>
      <c r="C247" s="6" t="s">
        <v>2683</v>
      </c>
      <c r="D247" s="6" t="s">
        <v>2684</v>
      </c>
    </row>
    <row r="248" spans="1:4" x14ac:dyDescent="0.2">
      <c r="A248" s="6" t="s">
        <v>2128</v>
      </c>
      <c r="B248" s="6" t="s">
        <v>1882</v>
      </c>
      <c r="C248" s="6" t="s">
        <v>2681</v>
      </c>
      <c r="D248" s="6" t="s">
        <v>2667</v>
      </c>
    </row>
    <row r="249" spans="1:4" x14ac:dyDescent="0.2">
      <c r="A249" s="6" t="s">
        <v>2129</v>
      </c>
      <c r="B249" s="6" t="s">
        <v>1882</v>
      </c>
      <c r="C249" s="6" t="s">
        <v>1898</v>
      </c>
      <c r="D249" s="6" t="s">
        <v>2663</v>
      </c>
    </row>
    <row r="250" spans="1:4" x14ac:dyDescent="0.2">
      <c r="A250" s="6" t="s">
        <v>2130</v>
      </c>
      <c r="B250" s="6" t="s">
        <v>1880</v>
      </c>
      <c r="C250" s="6" t="s">
        <v>1886</v>
      </c>
      <c r="D250" s="6" t="s">
        <v>2677</v>
      </c>
    </row>
    <row r="251" spans="1:4" x14ac:dyDescent="0.2">
      <c r="A251" s="6" t="s">
        <v>2131</v>
      </c>
      <c r="B251" s="6" t="s">
        <v>1893</v>
      </c>
      <c r="C251" s="6" t="s">
        <v>1886</v>
      </c>
      <c r="D251" s="6" t="s">
        <v>1887</v>
      </c>
    </row>
    <row r="252" spans="1:4" x14ac:dyDescent="0.2">
      <c r="A252" s="6" t="s">
        <v>2132</v>
      </c>
      <c r="B252" s="6" t="s">
        <v>1895</v>
      </c>
      <c r="C252" s="6" t="s">
        <v>2683</v>
      </c>
      <c r="D252" s="6" t="s">
        <v>2685</v>
      </c>
    </row>
    <row r="253" spans="1:4" x14ac:dyDescent="0.2">
      <c r="A253" s="6" t="s">
        <v>2133</v>
      </c>
      <c r="B253" s="6" t="s">
        <v>1882</v>
      </c>
      <c r="C253" s="6" t="s">
        <v>1884</v>
      </c>
      <c r="D253" s="6" t="s">
        <v>2673</v>
      </c>
    </row>
    <row r="254" spans="1:4" x14ac:dyDescent="0.2">
      <c r="A254" s="6" t="s">
        <v>2134</v>
      </c>
      <c r="B254" s="6" t="s">
        <v>1882</v>
      </c>
      <c r="C254" s="6" t="s">
        <v>1884</v>
      </c>
      <c r="D254" s="6" t="s">
        <v>2676</v>
      </c>
    </row>
    <row r="255" spans="1:4" x14ac:dyDescent="0.2">
      <c r="A255" s="6" t="s">
        <v>2135</v>
      </c>
      <c r="B255" s="6" t="s">
        <v>1882</v>
      </c>
      <c r="C255" s="6" t="s">
        <v>1886</v>
      </c>
      <c r="D255" s="6" t="s">
        <v>2662</v>
      </c>
    </row>
    <row r="256" spans="1:4" x14ac:dyDescent="0.2">
      <c r="A256" s="6" t="s">
        <v>2136</v>
      </c>
      <c r="B256" s="6" t="s">
        <v>1882</v>
      </c>
      <c r="C256" s="6" t="s">
        <v>1884</v>
      </c>
      <c r="D256" s="6" t="s">
        <v>2673</v>
      </c>
    </row>
    <row r="257" spans="1:4" x14ac:dyDescent="0.2">
      <c r="A257" s="6" t="s">
        <v>2137</v>
      </c>
      <c r="B257" s="6" t="s">
        <v>1882</v>
      </c>
      <c r="C257" s="6" t="s">
        <v>1884</v>
      </c>
      <c r="D257" s="6" t="s">
        <v>2673</v>
      </c>
    </row>
    <row r="258" spans="1:4" x14ac:dyDescent="0.2">
      <c r="A258" s="6" t="s">
        <v>2138</v>
      </c>
      <c r="B258" s="6" t="s">
        <v>1882</v>
      </c>
      <c r="C258" s="6" t="s">
        <v>1886</v>
      </c>
      <c r="D258" s="6" t="s">
        <v>2677</v>
      </c>
    </row>
    <row r="259" spans="1:4" x14ac:dyDescent="0.2">
      <c r="A259" s="6" t="s">
        <v>2139</v>
      </c>
      <c r="B259" s="6" t="s">
        <v>1880</v>
      </c>
      <c r="C259" s="6" t="s">
        <v>1884</v>
      </c>
      <c r="D259" s="6" t="s">
        <v>2672</v>
      </c>
    </row>
    <row r="260" spans="1:4" x14ac:dyDescent="0.2">
      <c r="A260" s="6" t="s">
        <v>2140</v>
      </c>
      <c r="B260" s="6" t="s">
        <v>1880</v>
      </c>
      <c r="C260" s="6" t="s">
        <v>1884</v>
      </c>
      <c r="D260" s="6" t="s">
        <v>2676</v>
      </c>
    </row>
    <row r="261" spans="1:4" x14ac:dyDescent="0.2">
      <c r="A261" s="6" t="s">
        <v>2141</v>
      </c>
      <c r="B261" s="6" t="s">
        <v>1880</v>
      </c>
      <c r="C261" s="6" t="s">
        <v>1898</v>
      </c>
      <c r="D261" s="6" t="s">
        <v>2666</v>
      </c>
    </row>
    <row r="262" spans="1:4" x14ac:dyDescent="0.2">
      <c r="A262" s="6" t="s">
        <v>2142</v>
      </c>
      <c r="B262" s="6" t="s">
        <v>1880</v>
      </c>
      <c r="C262" s="6" t="s">
        <v>1886</v>
      </c>
      <c r="D262" s="6" t="s">
        <v>2677</v>
      </c>
    </row>
    <row r="263" spans="1:4" x14ac:dyDescent="0.2">
      <c r="A263" s="6" t="s">
        <v>2143</v>
      </c>
      <c r="B263" s="6" t="s">
        <v>1880</v>
      </c>
      <c r="C263" s="6" t="s">
        <v>1886</v>
      </c>
      <c r="D263" s="6" t="s">
        <v>2674</v>
      </c>
    </row>
    <row r="264" spans="1:4" x14ac:dyDescent="0.2">
      <c r="A264" s="6" t="s">
        <v>2144</v>
      </c>
      <c r="B264" s="6" t="s">
        <v>1909</v>
      </c>
      <c r="C264" s="6" t="s">
        <v>1884</v>
      </c>
      <c r="D264" s="6" t="s">
        <v>2686</v>
      </c>
    </row>
    <row r="265" spans="1:4" x14ac:dyDescent="0.2">
      <c r="A265" s="6" t="s">
        <v>2145</v>
      </c>
      <c r="B265" s="6" t="s">
        <v>1880</v>
      </c>
      <c r="C265" s="6" t="s">
        <v>1917</v>
      </c>
      <c r="D265" s="6" t="s">
        <v>2679</v>
      </c>
    </row>
    <row r="266" spans="1:4" x14ac:dyDescent="0.2">
      <c r="A266" s="6" t="s">
        <v>2146</v>
      </c>
      <c r="B266" s="6" t="s">
        <v>1880</v>
      </c>
      <c r="C266" s="6" t="s">
        <v>1884</v>
      </c>
      <c r="D266" s="6" t="s">
        <v>2669</v>
      </c>
    </row>
    <row r="267" spans="1:4" x14ac:dyDescent="0.2">
      <c r="A267" s="6" t="s">
        <v>2147</v>
      </c>
      <c r="B267" s="6" t="s">
        <v>1880</v>
      </c>
      <c r="C267" s="6" t="s">
        <v>1884</v>
      </c>
      <c r="D267" s="6" t="s">
        <v>2673</v>
      </c>
    </row>
    <row r="268" spans="1:4" x14ac:dyDescent="0.2">
      <c r="A268" s="6" t="s">
        <v>2148</v>
      </c>
      <c r="B268" s="6" t="s">
        <v>1880</v>
      </c>
      <c r="C268" s="6" t="s">
        <v>1884</v>
      </c>
      <c r="D268" s="6" t="s">
        <v>2673</v>
      </c>
    </row>
    <row r="269" spans="1:4" x14ac:dyDescent="0.2">
      <c r="A269" s="6" t="s">
        <v>2149</v>
      </c>
      <c r="B269" s="6" t="s">
        <v>1895</v>
      </c>
      <c r="C269" s="6" t="s">
        <v>2683</v>
      </c>
      <c r="D269" s="6" t="s">
        <v>2684</v>
      </c>
    </row>
    <row r="270" spans="1:4" x14ac:dyDescent="0.2">
      <c r="A270" s="6" t="s">
        <v>2150</v>
      </c>
      <c r="B270" s="6" t="s">
        <v>1880</v>
      </c>
      <c r="C270" s="6" t="s">
        <v>1475</v>
      </c>
      <c r="D270" s="6" t="s">
        <v>2675</v>
      </c>
    </row>
    <row r="271" spans="1:4" x14ac:dyDescent="0.2">
      <c r="A271" s="6" t="s">
        <v>2151</v>
      </c>
      <c r="B271" s="6" t="s">
        <v>1882</v>
      </c>
      <c r="C271" s="6" t="s">
        <v>1917</v>
      </c>
      <c r="D271" s="6" t="s">
        <v>2679</v>
      </c>
    </row>
    <row r="272" spans="1:4" x14ac:dyDescent="0.2">
      <c r="A272" s="6" t="s">
        <v>2152</v>
      </c>
      <c r="B272" s="6" t="s">
        <v>1895</v>
      </c>
      <c r="C272" s="6" t="s">
        <v>2681</v>
      </c>
      <c r="D272" s="6" t="s">
        <v>2660</v>
      </c>
    </row>
    <row r="273" spans="1:4" x14ac:dyDescent="0.2">
      <c r="A273" s="6" t="s">
        <v>2153</v>
      </c>
      <c r="B273" s="6" t="s">
        <v>1893</v>
      </c>
      <c r="C273" s="6" t="s">
        <v>1898</v>
      </c>
      <c r="D273" s="6" t="s">
        <v>2671</v>
      </c>
    </row>
    <row r="274" spans="1:4" x14ac:dyDescent="0.2">
      <c r="A274" s="6" t="s">
        <v>2154</v>
      </c>
      <c r="B274" s="6" t="s">
        <v>1880</v>
      </c>
      <c r="C274" s="6" t="s">
        <v>1886</v>
      </c>
      <c r="D274" s="6" t="s">
        <v>1887</v>
      </c>
    </row>
    <row r="275" spans="1:4" x14ac:dyDescent="0.2">
      <c r="A275" s="6" t="s">
        <v>2155</v>
      </c>
      <c r="B275" s="6" t="s">
        <v>1882</v>
      </c>
      <c r="C275" s="6" t="s">
        <v>2681</v>
      </c>
      <c r="D275" s="6" t="s">
        <v>2682</v>
      </c>
    </row>
    <row r="276" spans="1:4" x14ac:dyDescent="0.2">
      <c r="A276" s="6" t="s">
        <v>2156</v>
      </c>
      <c r="B276" s="6" t="s">
        <v>1882</v>
      </c>
      <c r="C276" s="6" t="s">
        <v>1884</v>
      </c>
      <c r="D276" s="6" t="s">
        <v>2673</v>
      </c>
    </row>
    <row r="277" spans="1:4" x14ac:dyDescent="0.2">
      <c r="A277" s="6" t="s">
        <v>2157</v>
      </c>
      <c r="B277" s="6" t="s">
        <v>1882</v>
      </c>
      <c r="C277" s="6" t="s">
        <v>1884</v>
      </c>
      <c r="D277" s="6" t="s">
        <v>2676</v>
      </c>
    </row>
    <row r="278" spans="1:4" x14ac:dyDescent="0.2">
      <c r="A278" s="6" t="s">
        <v>2158</v>
      </c>
      <c r="B278" s="6" t="s">
        <v>1880</v>
      </c>
      <c r="C278" s="6" t="s">
        <v>1884</v>
      </c>
      <c r="D278" s="6" t="s">
        <v>2672</v>
      </c>
    </row>
    <row r="279" spans="1:4" x14ac:dyDescent="0.2">
      <c r="A279" s="6" t="s">
        <v>2159</v>
      </c>
      <c r="B279" s="6" t="s">
        <v>1880</v>
      </c>
      <c r="C279" s="6" t="s">
        <v>2683</v>
      </c>
      <c r="D279" s="6" t="s">
        <v>2685</v>
      </c>
    </row>
    <row r="280" spans="1:4" x14ac:dyDescent="0.2">
      <c r="A280" s="6" t="s">
        <v>2160</v>
      </c>
      <c r="B280" s="6" t="s">
        <v>1880</v>
      </c>
      <c r="C280" s="6" t="s">
        <v>1889</v>
      </c>
      <c r="D280" s="6" t="s">
        <v>1927</v>
      </c>
    </row>
    <row r="281" spans="1:4" x14ac:dyDescent="0.2">
      <c r="A281" s="6" t="s">
        <v>2161</v>
      </c>
      <c r="B281" s="6" t="s">
        <v>1880</v>
      </c>
      <c r="C281" s="6" t="s">
        <v>1886</v>
      </c>
      <c r="D281" s="6" t="s">
        <v>2677</v>
      </c>
    </row>
    <row r="282" spans="1:4" x14ac:dyDescent="0.2">
      <c r="A282" s="6" t="s">
        <v>2162</v>
      </c>
      <c r="B282" s="6" t="s">
        <v>1882</v>
      </c>
      <c r="C282" s="6" t="s">
        <v>1898</v>
      </c>
      <c r="D282" s="6" t="s">
        <v>2663</v>
      </c>
    </row>
    <row r="283" spans="1:4" x14ac:dyDescent="0.2">
      <c r="A283" s="6" t="s">
        <v>2163</v>
      </c>
      <c r="B283" s="6" t="s">
        <v>1895</v>
      </c>
      <c r="C283" s="6" t="s">
        <v>1917</v>
      </c>
      <c r="D283" s="6" t="s">
        <v>2679</v>
      </c>
    </row>
    <row r="284" spans="1:4" x14ac:dyDescent="0.2">
      <c r="A284" s="6" t="s">
        <v>2164</v>
      </c>
      <c r="B284" s="6" t="s">
        <v>1880</v>
      </c>
      <c r="C284" s="6" t="s">
        <v>1475</v>
      </c>
      <c r="D284" s="6" t="s">
        <v>2675</v>
      </c>
    </row>
    <row r="285" spans="1:4" x14ac:dyDescent="0.2">
      <c r="A285" s="6" t="s">
        <v>2165</v>
      </c>
      <c r="B285" s="6" t="s">
        <v>1882</v>
      </c>
      <c r="C285" s="6" t="s">
        <v>1898</v>
      </c>
      <c r="D285" s="6" t="s">
        <v>2666</v>
      </c>
    </row>
    <row r="286" spans="1:4" x14ac:dyDescent="0.2">
      <c r="A286" s="6" t="s">
        <v>2166</v>
      </c>
      <c r="B286" s="6" t="s">
        <v>1882</v>
      </c>
      <c r="C286" s="6" t="s">
        <v>1917</v>
      </c>
      <c r="D286" s="6" t="s">
        <v>2679</v>
      </c>
    </row>
    <row r="287" spans="1:4" x14ac:dyDescent="0.2">
      <c r="A287" s="6" t="s">
        <v>2167</v>
      </c>
      <c r="B287" s="6" t="s">
        <v>1882</v>
      </c>
      <c r="C287" s="6" t="s">
        <v>2681</v>
      </c>
      <c r="D287" s="6" t="s">
        <v>2660</v>
      </c>
    </row>
    <row r="288" spans="1:4" x14ac:dyDescent="0.2">
      <c r="A288" s="6" t="s">
        <v>2168</v>
      </c>
      <c r="B288" s="6" t="s">
        <v>1893</v>
      </c>
      <c r="C288" s="6" t="s">
        <v>1884</v>
      </c>
      <c r="D288" s="6" t="s">
        <v>2673</v>
      </c>
    </row>
    <row r="289" spans="1:4" x14ac:dyDescent="0.2">
      <c r="A289" s="6" t="s">
        <v>2169</v>
      </c>
      <c r="B289" s="6" t="s">
        <v>1895</v>
      </c>
      <c r="C289" s="6" t="s">
        <v>2681</v>
      </c>
      <c r="D289" s="6" t="s">
        <v>2660</v>
      </c>
    </row>
    <row r="290" spans="1:4" x14ac:dyDescent="0.2">
      <c r="A290" s="6" t="s">
        <v>2170</v>
      </c>
      <c r="B290" s="6" t="s">
        <v>1895</v>
      </c>
      <c r="C290" s="6" t="s">
        <v>2681</v>
      </c>
      <c r="D290" s="6" t="s">
        <v>2661</v>
      </c>
    </row>
    <row r="291" spans="1:4" x14ac:dyDescent="0.2">
      <c r="A291" s="6" t="s">
        <v>2171</v>
      </c>
      <c r="B291" s="6" t="s">
        <v>1895</v>
      </c>
      <c r="C291" s="6" t="s">
        <v>2683</v>
      </c>
      <c r="D291" s="6" t="s">
        <v>2685</v>
      </c>
    </row>
    <row r="292" spans="1:4" x14ac:dyDescent="0.2">
      <c r="A292" s="6" t="s">
        <v>2172</v>
      </c>
      <c r="B292" s="6" t="s">
        <v>1895</v>
      </c>
      <c r="C292" s="6" t="s">
        <v>1886</v>
      </c>
      <c r="D292" s="6" t="s">
        <v>2662</v>
      </c>
    </row>
    <row r="293" spans="1:4" x14ac:dyDescent="0.2">
      <c r="A293" s="6" t="s">
        <v>2173</v>
      </c>
      <c r="B293" s="6" t="s">
        <v>1895</v>
      </c>
      <c r="C293" s="6" t="s">
        <v>2681</v>
      </c>
      <c r="D293" s="6" t="s">
        <v>2661</v>
      </c>
    </row>
    <row r="294" spans="1:4" x14ac:dyDescent="0.2">
      <c r="A294" s="6" t="s">
        <v>2174</v>
      </c>
      <c r="B294" s="6" t="s">
        <v>1893</v>
      </c>
      <c r="C294" s="6" t="s">
        <v>1917</v>
      </c>
      <c r="D294" s="6" t="s">
        <v>1923</v>
      </c>
    </row>
    <row r="295" spans="1:4" x14ac:dyDescent="0.2">
      <c r="A295" s="6" t="s">
        <v>2175</v>
      </c>
      <c r="B295" s="6" t="s">
        <v>1880</v>
      </c>
      <c r="C295" s="6" t="s">
        <v>1917</v>
      </c>
      <c r="D295" s="6" t="s">
        <v>2679</v>
      </c>
    </row>
    <row r="296" spans="1:4" x14ac:dyDescent="0.2">
      <c r="A296" s="6" t="s">
        <v>2176</v>
      </c>
      <c r="B296" s="6" t="s">
        <v>1895</v>
      </c>
      <c r="C296" s="6" t="s">
        <v>1898</v>
      </c>
      <c r="D296" s="6" t="s">
        <v>2671</v>
      </c>
    </row>
    <row r="297" spans="1:4" x14ac:dyDescent="0.2">
      <c r="A297" s="6" t="s">
        <v>2177</v>
      </c>
      <c r="B297" s="6" t="s">
        <v>1882</v>
      </c>
      <c r="C297" s="6" t="s">
        <v>1884</v>
      </c>
      <c r="D297" s="6" t="s">
        <v>2672</v>
      </c>
    </row>
    <row r="298" spans="1:4" x14ac:dyDescent="0.2">
      <c r="A298" s="6" t="s">
        <v>2178</v>
      </c>
      <c r="B298" s="6" t="s">
        <v>1880</v>
      </c>
      <c r="C298" s="6" t="s">
        <v>1898</v>
      </c>
      <c r="D298" s="6" t="s">
        <v>2666</v>
      </c>
    </row>
    <row r="299" spans="1:4" x14ac:dyDescent="0.2">
      <c r="A299" s="6" t="s">
        <v>2179</v>
      </c>
      <c r="B299" s="6" t="s">
        <v>1880</v>
      </c>
      <c r="C299" s="6" t="s">
        <v>1884</v>
      </c>
      <c r="D299" s="6" t="s">
        <v>2672</v>
      </c>
    </row>
    <row r="300" spans="1:4" x14ac:dyDescent="0.2">
      <c r="A300" s="6" t="s">
        <v>2180</v>
      </c>
      <c r="B300" s="6" t="s">
        <v>1882</v>
      </c>
      <c r="C300" s="6" t="s">
        <v>1884</v>
      </c>
      <c r="D300" s="6" t="s">
        <v>2673</v>
      </c>
    </row>
    <row r="301" spans="1:4" x14ac:dyDescent="0.2">
      <c r="A301" s="6" t="s">
        <v>2181</v>
      </c>
      <c r="B301" s="6" t="s">
        <v>1882</v>
      </c>
      <c r="C301" s="6" t="s">
        <v>1884</v>
      </c>
      <c r="D301" s="6" t="s">
        <v>2673</v>
      </c>
    </row>
    <row r="302" spans="1:4" x14ac:dyDescent="0.2">
      <c r="A302" s="6" t="s">
        <v>2182</v>
      </c>
      <c r="B302" s="6" t="s">
        <v>1895</v>
      </c>
      <c r="C302" s="6" t="s">
        <v>1884</v>
      </c>
      <c r="D302" s="6" t="s">
        <v>2673</v>
      </c>
    </row>
    <row r="303" spans="1:4" x14ac:dyDescent="0.2">
      <c r="A303" s="6" t="s">
        <v>2183</v>
      </c>
      <c r="B303" s="6" t="s">
        <v>1882</v>
      </c>
      <c r="C303" s="6" t="s">
        <v>1889</v>
      </c>
      <c r="D303" s="6" t="s">
        <v>2687</v>
      </c>
    </row>
    <row r="304" spans="1:4" x14ac:dyDescent="0.2">
      <c r="A304" s="6" t="s">
        <v>2184</v>
      </c>
      <c r="B304" s="6" t="s">
        <v>1880</v>
      </c>
      <c r="C304" s="6" t="s">
        <v>1898</v>
      </c>
      <c r="D304" s="6" t="s">
        <v>2671</v>
      </c>
    </row>
    <row r="305" spans="1:4" x14ac:dyDescent="0.2">
      <c r="A305" s="6" t="s">
        <v>2185</v>
      </c>
      <c r="B305" s="6" t="s">
        <v>1882</v>
      </c>
      <c r="C305" s="6" t="s">
        <v>1898</v>
      </c>
      <c r="D305" s="6" t="s">
        <v>2666</v>
      </c>
    </row>
    <row r="306" spans="1:4" x14ac:dyDescent="0.2">
      <c r="A306" s="6" t="s">
        <v>2186</v>
      </c>
      <c r="B306" s="6" t="s">
        <v>1882</v>
      </c>
      <c r="C306" s="6" t="s">
        <v>1884</v>
      </c>
      <c r="D306" s="6" t="s">
        <v>2676</v>
      </c>
    </row>
    <row r="307" spans="1:4" x14ac:dyDescent="0.2">
      <c r="A307" s="6" t="s">
        <v>2187</v>
      </c>
      <c r="B307" s="6" t="s">
        <v>1895</v>
      </c>
      <c r="C307" s="6" t="s">
        <v>1917</v>
      </c>
      <c r="D307" s="6" t="s">
        <v>2679</v>
      </c>
    </row>
    <row r="308" spans="1:4" x14ac:dyDescent="0.2">
      <c r="A308" s="6" t="s">
        <v>2188</v>
      </c>
      <c r="B308" s="6" t="s">
        <v>1882</v>
      </c>
      <c r="C308" s="6" t="s">
        <v>2683</v>
      </c>
      <c r="D308" s="6" t="s">
        <v>2684</v>
      </c>
    </row>
    <row r="309" spans="1:4" x14ac:dyDescent="0.2">
      <c r="A309" s="6" t="s">
        <v>2189</v>
      </c>
      <c r="B309" s="6" t="s">
        <v>1880</v>
      </c>
      <c r="C309" s="6" t="s">
        <v>1884</v>
      </c>
      <c r="D309" s="6" t="s">
        <v>2673</v>
      </c>
    </row>
    <row r="310" spans="1:4" x14ac:dyDescent="0.2">
      <c r="A310" s="6" t="s">
        <v>2190</v>
      </c>
      <c r="B310" s="6" t="s">
        <v>1895</v>
      </c>
      <c r="C310" s="6" t="s">
        <v>1898</v>
      </c>
      <c r="D310" s="6" t="s">
        <v>2671</v>
      </c>
    </row>
    <row r="311" spans="1:4" x14ac:dyDescent="0.2">
      <c r="A311" s="6" t="s">
        <v>2191</v>
      </c>
      <c r="B311" s="6" t="s">
        <v>1880</v>
      </c>
      <c r="C311" s="6" t="s">
        <v>2681</v>
      </c>
      <c r="D311" s="6" t="s">
        <v>2667</v>
      </c>
    </row>
    <row r="312" spans="1:4" x14ac:dyDescent="0.2">
      <c r="A312" s="6" t="s">
        <v>2192</v>
      </c>
      <c r="B312" s="6" t="s">
        <v>1882</v>
      </c>
      <c r="C312" s="6" t="s">
        <v>2681</v>
      </c>
      <c r="D312" s="6" t="s">
        <v>2682</v>
      </c>
    </row>
    <row r="313" spans="1:4" x14ac:dyDescent="0.2">
      <c r="A313" s="6" t="s">
        <v>2193</v>
      </c>
      <c r="B313" s="6" t="s">
        <v>1895</v>
      </c>
      <c r="C313" s="6" t="s">
        <v>2681</v>
      </c>
      <c r="D313" s="6" t="s">
        <v>2660</v>
      </c>
    </row>
    <row r="314" spans="1:4" x14ac:dyDescent="0.2">
      <c r="A314" s="6" t="s">
        <v>2194</v>
      </c>
      <c r="B314" s="6" t="s">
        <v>1880</v>
      </c>
      <c r="C314" s="6" t="s">
        <v>1475</v>
      </c>
      <c r="D314" s="6" t="s">
        <v>2675</v>
      </c>
    </row>
    <row r="315" spans="1:4" x14ac:dyDescent="0.2">
      <c r="A315" s="6" t="s">
        <v>2195</v>
      </c>
      <c r="B315" s="6" t="s">
        <v>1882</v>
      </c>
      <c r="C315" s="6" t="s">
        <v>1475</v>
      </c>
      <c r="D315" s="6" t="s">
        <v>2675</v>
      </c>
    </row>
    <row r="316" spans="1:4" x14ac:dyDescent="0.2">
      <c r="A316" s="6" t="s">
        <v>2196</v>
      </c>
      <c r="B316" s="6" t="s">
        <v>1882</v>
      </c>
      <c r="C316" s="6" t="s">
        <v>1889</v>
      </c>
      <c r="D316" s="6" t="s">
        <v>2678</v>
      </c>
    </row>
    <row r="317" spans="1:4" x14ac:dyDescent="0.2">
      <c r="A317" s="6" t="s">
        <v>2197</v>
      </c>
      <c r="B317" s="6" t="s">
        <v>1895</v>
      </c>
      <c r="C317" s="6" t="s">
        <v>2681</v>
      </c>
      <c r="D317" s="6" t="s">
        <v>2682</v>
      </c>
    </row>
    <row r="318" spans="1:4" x14ac:dyDescent="0.2">
      <c r="A318" s="6" t="s">
        <v>2198</v>
      </c>
      <c r="B318" s="6" t="s">
        <v>1895</v>
      </c>
      <c r="C318" s="6" t="s">
        <v>1886</v>
      </c>
      <c r="D318" s="6" t="s">
        <v>1887</v>
      </c>
    </row>
    <row r="319" spans="1:4" x14ac:dyDescent="0.2">
      <c r="A319" s="6" t="s">
        <v>2199</v>
      </c>
      <c r="B319" s="6" t="s">
        <v>1895</v>
      </c>
      <c r="C319" s="6" t="s">
        <v>1886</v>
      </c>
      <c r="D319" s="6" t="s">
        <v>1887</v>
      </c>
    </row>
    <row r="320" spans="1:4" x14ac:dyDescent="0.2">
      <c r="A320" s="6" t="s">
        <v>2200</v>
      </c>
      <c r="B320" s="6" t="s">
        <v>1882</v>
      </c>
      <c r="C320" s="6" t="s">
        <v>1886</v>
      </c>
      <c r="D320" s="6" t="s">
        <v>2677</v>
      </c>
    </row>
    <row r="321" spans="1:4" x14ac:dyDescent="0.2">
      <c r="A321" s="6" t="s">
        <v>2201</v>
      </c>
      <c r="B321" s="6" t="s">
        <v>1882</v>
      </c>
      <c r="C321" s="6" t="s">
        <v>1884</v>
      </c>
      <c r="D321" s="6" t="s">
        <v>2673</v>
      </c>
    </row>
    <row r="322" spans="1:4" x14ac:dyDescent="0.2">
      <c r="A322" s="6" t="s">
        <v>1857</v>
      </c>
      <c r="B322" s="6" t="s">
        <v>1880</v>
      </c>
      <c r="C322" s="6" t="s">
        <v>1475</v>
      </c>
      <c r="D322" s="6" t="s">
        <v>2675</v>
      </c>
    </row>
    <row r="323" spans="1:4" x14ac:dyDescent="0.2">
      <c r="A323" s="6" t="s">
        <v>2202</v>
      </c>
      <c r="B323" s="6" t="s">
        <v>1882</v>
      </c>
      <c r="C323" s="6" t="s">
        <v>1898</v>
      </c>
      <c r="D323" s="6" t="s">
        <v>2671</v>
      </c>
    </row>
    <row r="324" spans="1:4" x14ac:dyDescent="0.2">
      <c r="A324" s="6" t="s">
        <v>2203</v>
      </c>
      <c r="B324" s="6" t="s">
        <v>1895</v>
      </c>
      <c r="C324" s="6" t="s">
        <v>1886</v>
      </c>
      <c r="D324" s="6" t="s">
        <v>2674</v>
      </c>
    </row>
    <row r="325" spans="1:4" x14ac:dyDescent="0.2">
      <c r="A325" s="6" t="s">
        <v>2204</v>
      </c>
      <c r="B325" s="6" t="s">
        <v>1882</v>
      </c>
      <c r="C325" s="6" t="s">
        <v>2681</v>
      </c>
      <c r="D325" s="6" t="s">
        <v>2682</v>
      </c>
    </row>
    <row r="326" spans="1:4" x14ac:dyDescent="0.2">
      <c r="A326" s="6" t="s">
        <v>2205</v>
      </c>
      <c r="B326" s="6" t="s">
        <v>1895</v>
      </c>
      <c r="C326" s="6" t="s">
        <v>2206</v>
      </c>
      <c r="D326" s="6" t="s">
        <v>2207</v>
      </c>
    </row>
    <row r="327" spans="1:4" x14ac:dyDescent="0.2">
      <c r="A327" s="6" t="s">
        <v>2208</v>
      </c>
      <c r="B327" s="6" t="s">
        <v>1895</v>
      </c>
      <c r="C327" s="6" t="s">
        <v>1898</v>
      </c>
      <c r="D327" s="6" t="s">
        <v>2671</v>
      </c>
    </row>
    <row r="328" spans="1:4" x14ac:dyDescent="0.2">
      <c r="A328" s="6" t="s">
        <v>2209</v>
      </c>
      <c r="B328" s="6" t="s">
        <v>1895</v>
      </c>
      <c r="C328" s="6" t="s">
        <v>1917</v>
      </c>
      <c r="D328" s="6" t="s">
        <v>2679</v>
      </c>
    </row>
    <row r="329" spans="1:4" x14ac:dyDescent="0.2">
      <c r="A329" s="6" t="s">
        <v>2210</v>
      </c>
      <c r="B329" s="6" t="s">
        <v>1880</v>
      </c>
      <c r="C329" s="6" t="s">
        <v>1889</v>
      </c>
      <c r="D329" s="6" t="s">
        <v>2678</v>
      </c>
    </row>
    <row r="330" spans="1:4" x14ac:dyDescent="0.2">
      <c r="A330" s="6" t="s">
        <v>2211</v>
      </c>
      <c r="B330" s="6" t="s">
        <v>1882</v>
      </c>
      <c r="C330" s="6" t="s">
        <v>1475</v>
      </c>
      <c r="D330" s="6" t="s">
        <v>2675</v>
      </c>
    </row>
    <row r="331" spans="1:4" x14ac:dyDescent="0.2">
      <c r="A331" s="6" t="s">
        <v>2212</v>
      </c>
      <c r="B331" s="6" t="s">
        <v>1880</v>
      </c>
      <c r="C331" s="6" t="s">
        <v>2681</v>
      </c>
      <c r="D331" s="6" t="s">
        <v>2660</v>
      </c>
    </row>
    <row r="332" spans="1:4" x14ac:dyDescent="0.2">
      <c r="A332" s="6" t="s">
        <v>2213</v>
      </c>
      <c r="B332" s="6" t="s">
        <v>1882</v>
      </c>
      <c r="C332" s="6" t="s">
        <v>2683</v>
      </c>
      <c r="D332" s="6" t="s">
        <v>2685</v>
      </c>
    </row>
    <row r="333" spans="1:4" x14ac:dyDescent="0.2">
      <c r="A333" s="6" t="s">
        <v>2214</v>
      </c>
      <c r="B333" s="6" t="s">
        <v>1880</v>
      </c>
      <c r="C333" s="6" t="s">
        <v>1886</v>
      </c>
      <c r="D333" s="6" t="s">
        <v>2674</v>
      </c>
    </row>
    <row r="334" spans="1:4" x14ac:dyDescent="0.2">
      <c r="A334" s="6" t="s">
        <v>2215</v>
      </c>
      <c r="B334" s="6" t="s">
        <v>1880</v>
      </c>
      <c r="C334" s="6" t="s">
        <v>1884</v>
      </c>
      <c r="D334" s="6" t="s">
        <v>2669</v>
      </c>
    </row>
    <row r="335" spans="1:4" x14ac:dyDescent="0.2">
      <c r="A335" s="6" t="s">
        <v>2216</v>
      </c>
      <c r="B335" s="6" t="s">
        <v>1880</v>
      </c>
      <c r="C335" s="6" t="s">
        <v>1475</v>
      </c>
      <c r="D335" s="6" t="s">
        <v>2675</v>
      </c>
    </row>
    <row r="336" spans="1:4" x14ac:dyDescent="0.2">
      <c r="A336" s="6" t="s">
        <v>2217</v>
      </c>
      <c r="B336" s="6" t="s">
        <v>1880</v>
      </c>
      <c r="C336" s="6" t="s">
        <v>1886</v>
      </c>
      <c r="D336" s="6" t="s">
        <v>1887</v>
      </c>
    </row>
    <row r="337" spans="1:4" x14ac:dyDescent="0.2">
      <c r="A337" s="6" t="s">
        <v>2218</v>
      </c>
      <c r="B337" s="6" t="s">
        <v>1895</v>
      </c>
      <c r="C337" s="6" t="s">
        <v>1475</v>
      </c>
      <c r="D337" s="6" t="s">
        <v>2665</v>
      </c>
    </row>
    <row r="338" spans="1:4" x14ac:dyDescent="0.2">
      <c r="A338" s="6" t="s">
        <v>2219</v>
      </c>
      <c r="B338" s="6" t="s">
        <v>1882</v>
      </c>
      <c r="C338" s="6" t="s">
        <v>1898</v>
      </c>
      <c r="D338" s="6" t="s">
        <v>2671</v>
      </c>
    </row>
    <row r="339" spans="1:4" x14ac:dyDescent="0.2">
      <c r="A339" s="6" t="s">
        <v>2220</v>
      </c>
      <c r="B339" s="6" t="s">
        <v>1909</v>
      </c>
      <c r="C339" s="6" t="s">
        <v>1898</v>
      </c>
      <c r="D339" s="6" t="s">
        <v>2666</v>
      </c>
    </row>
    <row r="340" spans="1:4" x14ac:dyDescent="0.2">
      <c r="A340" s="6" t="s">
        <v>2221</v>
      </c>
      <c r="B340" s="6" t="s">
        <v>1882</v>
      </c>
      <c r="C340" s="6" t="s">
        <v>1898</v>
      </c>
      <c r="D340" s="6" t="s">
        <v>2671</v>
      </c>
    </row>
    <row r="341" spans="1:4" x14ac:dyDescent="0.2">
      <c r="A341" s="6" t="s">
        <v>2222</v>
      </c>
      <c r="B341" s="6" t="s">
        <v>1880</v>
      </c>
      <c r="C341" s="6" t="s">
        <v>1475</v>
      </c>
      <c r="D341" s="6" t="s">
        <v>2665</v>
      </c>
    </row>
    <row r="342" spans="1:4" x14ac:dyDescent="0.2">
      <c r="A342" s="6" t="s">
        <v>2223</v>
      </c>
      <c r="B342" s="6" t="s">
        <v>1895</v>
      </c>
      <c r="C342" s="6" t="s">
        <v>2683</v>
      </c>
      <c r="D342" s="6" t="s">
        <v>2685</v>
      </c>
    </row>
    <row r="343" spans="1:4" x14ac:dyDescent="0.2">
      <c r="A343" s="6" t="s">
        <v>2224</v>
      </c>
      <c r="B343" s="6" t="s">
        <v>1895</v>
      </c>
      <c r="C343" s="6" t="s">
        <v>1475</v>
      </c>
      <c r="D343" s="6" t="s">
        <v>2668</v>
      </c>
    </row>
    <row r="344" spans="1:4" x14ac:dyDescent="0.2">
      <c r="A344" s="6" t="s">
        <v>2225</v>
      </c>
      <c r="B344" s="6" t="s">
        <v>1880</v>
      </c>
      <c r="C344" s="6" t="s">
        <v>1898</v>
      </c>
      <c r="D344" s="6" t="s">
        <v>2671</v>
      </c>
    </row>
    <row r="345" spans="1:4" x14ac:dyDescent="0.2">
      <c r="A345" s="6" t="s">
        <v>2226</v>
      </c>
      <c r="B345" s="6" t="s">
        <v>1880</v>
      </c>
      <c r="C345" s="6" t="s">
        <v>2681</v>
      </c>
      <c r="D345" s="6" t="s">
        <v>2682</v>
      </c>
    </row>
    <row r="346" spans="1:4" x14ac:dyDescent="0.2">
      <c r="A346" s="6" t="s">
        <v>2227</v>
      </c>
      <c r="B346" s="6" t="s">
        <v>1882</v>
      </c>
      <c r="C346" s="6" t="s">
        <v>1917</v>
      </c>
      <c r="D346" s="6" t="s">
        <v>2679</v>
      </c>
    </row>
    <row r="347" spans="1:4" x14ac:dyDescent="0.2">
      <c r="A347" s="6" t="s">
        <v>2228</v>
      </c>
      <c r="B347" s="6" t="s">
        <v>1895</v>
      </c>
      <c r="C347" s="6" t="s">
        <v>1884</v>
      </c>
      <c r="D347" s="6" t="s">
        <v>2676</v>
      </c>
    </row>
    <row r="348" spans="1:4" x14ac:dyDescent="0.2">
      <c r="A348" s="6" t="s">
        <v>2229</v>
      </c>
      <c r="B348" s="6" t="s">
        <v>1880</v>
      </c>
      <c r="C348" s="6" t="s">
        <v>1898</v>
      </c>
      <c r="D348" s="6" t="s">
        <v>2663</v>
      </c>
    </row>
    <row r="349" spans="1:4" x14ac:dyDescent="0.2">
      <c r="A349" s="6" t="s">
        <v>2230</v>
      </c>
      <c r="B349" s="6" t="s">
        <v>1880</v>
      </c>
      <c r="C349" s="6" t="s">
        <v>1886</v>
      </c>
      <c r="D349" s="6" t="s">
        <v>2677</v>
      </c>
    </row>
    <row r="350" spans="1:4" x14ac:dyDescent="0.2">
      <c r="A350" s="6" t="s">
        <v>2231</v>
      </c>
      <c r="B350" s="6" t="s">
        <v>1882</v>
      </c>
      <c r="C350" s="6" t="s">
        <v>1889</v>
      </c>
      <c r="D350" s="6" t="s">
        <v>2678</v>
      </c>
    </row>
    <row r="351" spans="1:4" x14ac:dyDescent="0.2">
      <c r="A351" s="6" t="s">
        <v>2232</v>
      </c>
      <c r="B351" s="6" t="s">
        <v>1882</v>
      </c>
      <c r="C351" s="6" t="s">
        <v>1475</v>
      </c>
      <c r="D351" s="6" t="s">
        <v>2675</v>
      </c>
    </row>
    <row r="352" spans="1:4" x14ac:dyDescent="0.2">
      <c r="A352" s="6" t="s">
        <v>2233</v>
      </c>
      <c r="B352" s="6" t="s">
        <v>1880</v>
      </c>
      <c r="C352" s="6" t="s">
        <v>2683</v>
      </c>
      <c r="D352" s="6" t="s">
        <v>2684</v>
      </c>
    </row>
    <row r="353" spans="1:4" x14ac:dyDescent="0.2">
      <c r="A353" s="6" t="s">
        <v>2234</v>
      </c>
      <c r="B353" s="6" t="s">
        <v>1882</v>
      </c>
      <c r="C353" s="6" t="s">
        <v>1884</v>
      </c>
      <c r="D353" s="6" t="s">
        <v>2669</v>
      </c>
    </row>
    <row r="354" spans="1:4" x14ac:dyDescent="0.2">
      <c r="A354" s="6" t="s">
        <v>2235</v>
      </c>
      <c r="B354" s="6" t="s">
        <v>1895</v>
      </c>
      <c r="C354" s="6" t="s">
        <v>1886</v>
      </c>
      <c r="D354" s="6" t="s">
        <v>1887</v>
      </c>
    </row>
    <row r="355" spans="1:4" x14ac:dyDescent="0.2">
      <c r="A355" s="6" t="s">
        <v>2236</v>
      </c>
      <c r="B355" s="6" t="s">
        <v>1895</v>
      </c>
      <c r="C355" s="6" t="s">
        <v>1475</v>
      </c>
      <c r="D355" s="6" t="s">
        <v>2665</v>
      </c>
    </row>
    <row r="356" spans="1:4" x14ac:dyDescent="0.2">
      <c r="A356" s="6" t="s">
        <v>2237</v>
      </c>
      <c r="B356" s="6" t="s">
        <v>1880</v>
      </c>
      <c r="C356" s="6" t="s">
        <v>1884</v>
      </c>
      <c r="D356" s="6" t="s">
        <v>2673</v>
      </c>
    </row>
    <row r="357" spans="1:4" x14ac:dyDescent="0.2">
      <c r="A357" s="6" t="s">
        <v>2238</v>
      </c>
      <c r="B357" s="6" t="s">
        <v>1882</v>
      </c>
      <c r="C357" s="6" t="s">
        <v>1886</v>
      </c>
      <c r="D357" s="6" t="s">
        <v>1887</v>
      </c>
    </row>
    <row r="358" spans="1:4" x14ac:dyDescent="0.2">
      <c r="A358" s="6" t="s">
        <v>2239</v>
      </c>
      <c r="B358" s="6" t="s">
        <v>1895</v>
      </c>
      <c r="C358" s="6" t="s">
        <v>1884</v>
      </c>
      <c r="D358" s="6" t="s">
        <v>2676</v>
      </c>
    </row>
    <row r="359" spans="1:4" x14ac:dyDescent="0.2">
      <c r="A359" s="6" t="s">
        <v>2240</v>
      </c>
      <c r="B359" s="6" t="s">
        <v>1880</v>
      </c>
      <c r="C359" s="6" t="s">
        <v>1886</v>
      </c>
      <c r="D359" s="6" t="s">
        <v>2674</v>
      </c>
    </row>
    <row r="360" spans="1:4" x14ac:dyDescent="0.2">
      <c r="A360" s="6" t="s">
        <v>2241</v>
      </c>
      <c r="B360" s="6" t="s">
        <v>1880</v>
      </c>
      <c r="C360" s="6" t="s">
        <v>1886</v>
      </c>
      <c r="D360" s="6" t="s">
        <v>2677</v>
      </c>
    </row>
    <row r="361" spans="1:4" x14ac:dyDescent="0.2">
      <c r="A361" s="6" t="s">
        <v>2242</v>
      </c>
      <c r="B361" s="6" t="s">
        <v>1882</v>
      </c>
      <c r="C361" s="6" t="s">
        <v>1884</v>
      </c>
      <c r="D361" s="6" t="s">
        <v>2673</v>
      </c>
    </row>
    <row r="362" spans="1:4" x14ac:dyDescent="0.2">
      <c r="A362" s="6" t="s">
        <v>2243</v>
      </c>
      <c r="B362" s="6" t="s">
        <v>1880</v>
      </c>
      <c r="C362" s="6" t="s">
        <v>2681</v>
      </c>
      <c r="D362" s="6" t="s">
        <v>2667</v>
      </c>
    </row>
    <row r="363" spans="1:4" x14ac:dyDescent="0.2">
      <c r="A363" s="6" t="s">
        <v>2244</v>
      </c>
      <c r="B363" s="6" t="s">
        <v>1882</v>
      </c>
      <c r="C363" s="6" t="s">
        <v>1884</v>
      </c>
      <c r="D363" s="6" t="s">
        <v>2672</v>
      </c>
    </row>
    <row r="364" spans="1:4" x14ac:dyDescent="0.2">
      <c r="A364" s="6" t="s">
        <v>2245</v>
      </c>
      <c r="B364" s="6" t="s">
        <v>1880</v>
      </c>
      <c r="C364" s="6" t="s">
        <v>1475</v>
      </c>
      <c r="D364" s="6" t="s">
        <v>2675</v>
      </c>
    </row>
    <row r="365" spans="1:4" x14ac:dyDescent="0.2">
      <c r="A365" s="6" t="s">
        <v>2246</v>
      </c>
      <c r="B365" s="6" t="s">
        <v>1895</v>
      </c>
      <c r="C365" s="6" t="s">
        <v>1475</v>
      </c>
      <c r="D365" s="6" t="s">
        <v>2675</v>
      </c>
    </row>
    <row r="366" spans="1:4" x14ac:dyDescent="0.2">
      <c r="A366" s="6" t="s">
        <v>2247</v>
      </c>
      <c r="B366" s="6" t="s">
        <v>1882</v>
      </c>
      <c r="C366" s="6" t="s">
        <v>1917</v>
      </c>
      <c r="D366" s="6" t="s">
        <v>2679</v>
      </c>
    </row>
    <row r="367" spans="1:4" x14ac:dyDescent="0.2">
      <c r="A367" s="6" t="s">
        <v>2248</v>
      </c>
      <c r="B367" s="6" t="s">
        <v>1909</v>
      </c>
      <c r="C367" s="6" t="s">
        <v>1898</v>
      </c>
      <c r="D367" s="6" t="s">
        <v>2663</v>
      </c>
    </row>
    <row r="368" spans="1:4" x14ac:dyDescent="0.2">
      <c r="A368" s="6" t="s">
        <v>2249</v>
      </c>
      <c r="B368" s="6" t="s">
        <v>1880</v>
      </c>
      <c r="C368" s="6" t="s">
        <v>1886</v>
      </c>
      <c r="D368" s="6" t="s">
        <v>1941</v>
      </c>
    </row>
    <row r="369" spans="1:4" x14ac:dyDescent="0.2">
      <c r="A369" s="6" t="s">
        <v>2250</v>
      </c>
      <c r="B369" s="6" t="s">
        <v>1880</v>
      </c>
      <c r="C369" s="6" t="s">
        <v>1889</v>
      </c>
      <c r="D369" s="6" t="s">
        <v>1927</v>
      </c>
    </row>
    <row r="370" spans="1:4" x14ac:dyDescent="0.2">
      <c r="A370" s="6" t="s">
        <v>2251</v>
      </c>
      <c r="B370" s="6" t="s">
        <v>1880</v>
      </c>
      <c r="C370" s="6" t="s">
        <v>1917</v>
      </c>
      <c r="D370" s="6" t="s">
        <v>1923</v>
      </c>
    </row>
    <row r="371" spans="1:4" x14ac:dyDescent="0.2">
      <c r="A371" s="6" t="s">
        <v>2252</v>
      </c>
      <c r="B371" s="6" t="s">
        <v>1880</v>
      </c>
      <c r="C371" s="6" t="s">
        <v>1475</v>
      </c>
      <c r="D371" s="6" t="s">
        <v>2668</v>
      </c>
    </row>
    <row r="372" spans="1:4" x14ac:dyDescent="0.2">
      <c r="A372" s="6" t="s">
        <v>2253</v>
      </c>
      <c r="B372" s="6" t="s">
        <v>1880</v>
      </c>
      <c r="C372" s="6" t="s">
        <v>1884</v>
      </c>
      <c r="D372" s="6" t="s">
        <v>2673</v>
      </c>
    </row>
    <row r="373" spans="1:4" x14ac:dyDescent="0.2">
      <c r="A373" s="6" t="s">
        <v>2254</v>
      </c>
      <c r="B373" s="6" t="s">
        <v>1895</v>
      </c>
      <c r="C373" s="6" t="s">
        <v>1886</v>
      </c>
      <c r="D373" s="6" t="s">
        <v>2674</v>
      </c>
    </row>
    <row r="374" spans="1:4" x14ac:dyDescent="0.2">
      <c r="A374" s="6" t="s">
        <v>2255</v>
      </c>
      <c r="B374" s="6" t="s">
        <v>1895</v>
      </c>
      <c r="C374" s="6" t="s">
        <v>2683</v>
      </c>
      <c r="D374" s="6" t="s">
        <v>2685</v>
      </c>
    </row>
    <row r="375" spans="1:4" x14ac:dyDescent="0.2">
      <c r="A375" s="6" t="s">
        <v>2256</v>
      </c>
      <c r="B375" s="6" t="s">
        <v>1895</v>
      </c>
      <c r="C375" s="6" t="s">
        <v>1475</v>
      </c>
      <c r="D375" s="6" t="s">
        <v>2675</v>
      </c>
    </row>
    <row r="376" spans="1:4" x14ac:dyDescent="0.2">
      <c r="A376" s="6" t="s">
        <v>2257</v>
      </c>
      <c r="B376" s="6" t="s">
        <v>1895</v>
      </c>
      <c r="C376" s="6" t="s">
        <v>1886</v>
      </c>
      <c r="D376" s="6" t="s">
        <v>2674</v>
      </c>
    </row>
    <row r="377" spans="1:4" x14ac:dyDescent="0.2">
      <c r="A377" s="6" t="s">
        <v>2258</v>
      </c>
      <c r="B377" s="6" t="s">
        <v>1880</v>
      </c>
      <c r="C377" s="6" t="s">
        <v>1898</v>
      </c>
      <c r="D377" s="6" t="s">
        <v>2671</v>
      </c>
    </row>
    <row r="378" spans="1:4" x14ac:dyDescent="0.2">
      <c r="A378" s="6" t="s">
        <v>2259</v>
      </c>
      <c r="B378" s="6" t="s">
        <v>1895</v>
      </c>
      <c r="C378" s="6" t="s">
        <v>2681</v>
      </c>
      <c r="D378" s="6" t="s">
        <v>2667</v>
      </c>
    </row>
    <row r="379" spans="1:4" x14ac:dyDescent="0.2">
      <c r="A379" s="6" t="s">
        <v>2260</v>
      </c>
      <c r="B379" s="6" t="s">
        <v>1882</v>
      </c>
      <c r="C379" s="6" t="s">
        <v>2683</v>
      </c>
      <c r="D379" s="6" t="s">
        <v>2684</v>
      </c>
    </row>
    <row r="380" spans="1:4" x14ac:dyDescent="0.2">
      <c r="A380" s="6" t="s">
        <v>2261</v>
      </c>
      <c r="B380" s="6" t="s">
        <v>1880</v>
      </c>
      <c r="C380" s="6" t="s">
        <v>1898</v>
      </c>
      <c r="D380" s="6" t="s">
        <v>2671</v>
      </c>
    </row>
    <row r="381" spans="1:4" x14ac:dyDescent="0.2">
      <c r="A381" s="6" t="s">
        <v>2262</v>
      </c>
      <c r="B381" s="6" t="s">
        <v>1880</v>
      </c>
      <c r="C381" s="6" t="s">
        <v>1884</v>
      </c>
      <c r="D381" s="6" t="s">
        <v>2686</v>
      </c>
    </row>
    <row r="382" spans="1:4" x14ac:dyDescent="0.2">
      <c r="A382" s="6" t="s">
        <v>2263</v>
      </c>
      <c r="B382" s="6" t="s">
        <v>1895</v>
      </c>
      <c r="C382" s="6" t="s">
        <v>2681</v>
      </c>
      <c r="D382" s="6" t="s">
        <v>2664</v>
      </c>
    </row>
    <row r="383" spans="1:4" x14ac:dyDescent="0.2">
      <c r="A383" s="6" t="s">
        <v>2264</v>
      </c>
      <c r="B383" s="6" t="s">
        <v>1882</v>
      </c>
      <c r="C383" s="6" t="s">
        <v>1898</v>
      </c>
      <c r="D383" s="6" t="s">
        <v>2666</v>
      </c>
    </row>
    <row r="384" spans="1:4" x14ac:dyDescent="0.2">
      <c r="A384" s="6" t="s">
        <v>2265</v>
      </c>
      <c r="B384" s="6" t="s">
        <v>1893</v>
      </c>
      <c r="C384" s="6" t="s">
        <v>2683</v>
      </c>
      <c r="D384" s="6" t="s">
        <v>2685</v>
      </c>
    </row>
    <row r="385" spans="1:4" x14ac:dyDescent="0.2">
      <c r="A385" s="6" t="s">
        <v>2266</v>
      </c>
      <c r="B385" s="6" t="s">
        <v>1895</v>
      </c>
      <c r="C385" s="6" t="s">
        <v>1884</v>
      </c>
      <c r="D385" s="6" t="s">
        <v>2673</v>
      </c>
    </row>
    <row r="386" spans="1:4" x14ac:dyDescent="0.2">
      <c r="A386" s="6" t="s">
        <v>2267</v>
      </c>
      <c r="B386" s="6" t="s">
        <v>1882</v>
      </c>
      <c r="C386" s="6" t="s">
        <v>1475</v>
      </c>
      <c r="D386" s="6" t="s">
        <v>2665</v>
      </c>
    </row>
    <row r="387" spans="1:4" x14ac:dyDescent="0.2">
      <c r="A387" s="6" t="s">
        <v>2268</v>
      </c>
      <c r="B387" s="6" t="s">
        <v>1895</v>
      </c>
      <c r="C387" s="6" t="s">
        <v>1886</v>
      </c>
      <c r="D387" s="6" t="s">
        <v>2677</v>
      </c>
    </row>
    <row r="388" spans="1:4" x14ac:dyDescent="0.2">
      <c r="A388" s="6" t="s">
        <v>2269</v>
      </c>
      <c r="B388" s="6" t="s">
        <v>1880</v>
      </c>
      <c r="C388" s="6" t="s">
        <v>2681</v>
      </c>
      <c r="D388" s="6" t="s">
        <v>2667</v>
      </c>
    </row>
    <row r="389" spans="1:4" x14ac:dyDescent="0.2">
      <c r="A389" s="6" t="s">
        <v>2270</v>
      </c>
      <c r="B389" s="6" t="s">
        <v>1880</v>
      </c>
      <c r="C389" s="6" t="s">
        <v>1884</v>
      </c>
      <c r="D389" s="6" t="s">
        <v>2669</v>
      </c>
    </row>
    <row r="390" spans="1:4" x14ac:dyDescent="0.2">
      <c r="A390" s="6" t="s">
        <v>2271</v>
      </c>
      <c r="B390" s="6" t="s">
        <v>1882</v>
      </c>
      <c r="C390" s="6" t="s">
        <v>1884</v>
      </c>
      <c r="D390" s="6" t="s">
        <v>2669</v>
      </c>
    </row>
    <row r="391" spans="1:4" x14ac:dyDescent="0.2">
      <c r="A391" s="6" t="s">
        <v>2272</v>
      </c>
      <c r="B391" s="6" t="s">
        <v>1882</v>
      </c>
      <c r="C391" s="6" t="s">
        <v>1886</v>
      </c>
      <c r="D391" s="6" t="s">
        <v>1887</v>
      </c>
    </row>
    <row r="392" spans="1:4" x14ac:dyDescent="0.2">
      <c r="A392" s="6" t="s">
        <v>2273</v>
      </c>
      <c r="B392" s="6" t="s">
        <v>1882</v>
      </c>
      <c r="C392" s="6" t="s">
        <v>1886</v>
      </c>
      <c r="D392" s="6" t="s">
        <v>2677</v>
      </c>
    </row>
    <row r="393" spans="1:4" x14ac:dyDescent="0.2">
      <c r="A393" s="6" t="s">
        <v>2274</v>
      </c>
      <c r="B393" s="6" t="s">
        <v>1882</v>
      </c>
      <c r="C393" s="6" t="s">
        <v>1917</v>
      </c>
      <c r="D393" s="6" t="s">
        <v>2679</v>
      </c>
    </row>
    <row r="394" spans="1:4" x14ac:dyDescent="0.2">
      <c r="A394" s="6" t="s">
        <v>2275</v>
      </c>
      <c r="B394" s="6" t="s">
        <v>1880</v>
      </c>
      <c r="C394" s="6" t="s">
        <v>1884</v>
      </c>
      <c r="D394" s="6" t="s">
        <v>2669</v>
      </c>
    </row>
    <row r="395" spans="1:4" x14ac:dyDescent="0.2">
      <c r="A395" s="6" t="s">
        <v>2276</v>
      </c>
      <c r="B395" s="6" t="s">
        <v>1895</v>
      </c>
      <c r="C395" s="6" t="s">
        <v>2681</v>
      </c>
      <c r="D395" s="6" t="s">
        <v>2682</v>
      </c>
    </row>
    <row r="396" spans="1:4" x14ac:dyDescent="0.2">
      <c r="A396" s="6" t="s">
        <v>2277</v>
      </c>
      <c r="B396" s="6" t="s">
        <v>1895</v>
      </c>
      <c r="C396" s="6" t="s">
        <v>2681</v>
      </c>
      <c r="D396" s="6" t="s">
        <v>2664</v>
      </c>
    </row>
    <row r="397" spans="1:4" x14ac:dyDescent="0.2">
      <c r="A397" s="6" t="s">
        <v>2278</v>
      </c>
      <c r="B397" s="6" t="s">
        <v>1895</v>
      </c>
      <c r="C397" s="6" t="s">
        <v>1475</v>
      </c>
      <c r="D397" s="6" t="s">
        <v>2675</v>
      </c>
    </row>
    <row r="398" spans="1:4" x14ac:dyDescent="0.2">
      <c r="A398" s="6" t="s">
        <v>2279</v>
      </c>
      <c r="B398" s="6" t="s">
        <v>1880</v>
      </c>
      <c r="C398" s="6" t="s">
        <v>1917</v>
      </c>
      <c r="D398" s="6" t="s">
        <v>2679</v>
      </c>
    </row>
    <row r="399" spans="1:4" x14ac:dyDescent="0.2">
      <c r="A399" s="6" t="s">
        <v>2280</v>
      </c>
      <c r="B399" s="6" t="s">
        <v>1880</v>
      </c>
      <c r="C399" s="6" t="s">
        <v>1884</v>
      </c>
      <c r="D399" s="6" t="s">
        <v>2673</v>
      </c>
    </row>
    <row r="400" spans="1:4" x14ac:dyDescent="0.2">
      <c r="A400" s="6" t="s">
        <v>2281</v>
      </c>
      <c r="B400" s="6" t="s">
        <v>1895</v>
      </c>
      <c r="C400" s="6" t="s">
        <v>1884</v>
      </c>
      <c r="D400" s="6" t="s">
        <v>2669</v>
      </c>
    </row>
    <row r="401" spans="1:4" x14ac:dyDescent="0.2">
      <c r="A401" s="6" t="s">
        <v>2282</v>
      </c>
      <c r="B401" s="6" t="s">
        <v>1880</v>
      </c>
      <c r="C401" s="6" t="s">
        <v>1884</v>
      </c>
      <c r="D401" s="6" t="s">
        <v>2673</v>
      </c>
    </row>
    <row r="402" spans="1:4" x14ac:dyDescent="0.2">
      <c r="A402" s="6" t="s">
        <v>2283</v>
      </c>
      <c r="B402" s="6" t="s">
        <v>1895</v>
      </c>
      <c r="C402" s="6" t="s">
        <v>1898</v>
      </c>
      <c r="D402" s="6" t="s">
        <v>2663</v>
      </c>
    </row>
    <row r="403" spans="1:4" x14ac:dyDescent="0.2">
      <c r="A403" s="6" t="s">
        <v>2284</v>
      </c>
      <c r="B403" s="6" t="s">
        <v>1880</v>
      </c>
      <c r="C403" s="6" t="s">
        <v>1884</v>
      </c>
      <c r="D403" s="6" t="s">
        <v>2676</v>
      </c>
    </row>
    <row r="404" spans="1:4" x14ac:dyDescent="0.2">
      <c r="A404" s="6" t="s">
        <v>2285</v>
      </c>
      <c r="B404" s="6" t="s">
        <v>1882</v>
      </c>
      <c r="C404" s="6" t="s">
        <v>1475</v>
      </c>
      <c r="D404" s="6" t="s">
        <v>2675</v>
      </c>
    </row>
    <row r="405" spans="1:4" x14ac:dyDescent="0.2">
      <c r="A405" s="6" t="s">
        <v>2286</v>
      </c>
      <c r="B405" s="6" t="s">
        <v>1882</v>
      </c>
      <c r="C405" s="6" t="s">
        <v>1898</v>
      </c>
      <c r="D405" s="6" t="s">
        <v>2671</v>
      </c>
    </row>
    <row r="406" spans="1:4" x14ac:dyDescent="0.2">
      <c r="A406" s="6" t="s">
        <v>2287</v>
      </c>
      <c r="B406" s="6" t="s">
        <v>1895</v>
      </c>
      <c r="C406" s="6" t="s">
        <v>1884</v>
      </c>
      <c r="D406" s="6" t="s">
        <v>2669</v>
      </c>
    </row>
    <row r="407" spans="1:4" x14ac:dyDescent="0.2">
      <c r="A407" s="6" t="s">
        <v>2288</v>
      </c>
      <c r="B407" s="6" t="s">
        <v>1882</v>
      </c>
      <c r="C407" s="6" t="s">
        <v>1886</v>
      </c>
      <c r="D407" s="6" t="s">
        <v>2677</v>
      </c>
    </row>
    <row r="408" spans="1:4" x14ac:dyDescent="0.2">
      <c r="A408" s="6" t="s">
        <v>2289</v>
      </c>
      <c r="B408" s="6" t="s">
        <v>1882</v>
      </c>
      <c r="C408" s="6" t="s">
        <v>1898</v>
      </c>
      <c r="D408" s="6" t="s">
        <v>2663</v>
      </c>
    </row>
    <row r="409" spans="1:4" x14ac:dyDescent="0.2">
      <c r="A409" s="6" t="s">
        <v>2290</v>
      </c>
      <c r="B409" s="6" t="s">
        <v>1895</v>
      </c>
      <c r="C409" s="6" t="s">
        <v>2681</v>
      </c>
      <c r="D409" s="6" t="s">
        <v>2660</v>
      </c>
    </row>
    <row r="410" spans="1:4" x14ac:dyDescent="0.2">
      <c r="A410" s="6" t="s">
        <v>2291</v>
      </c>
      <c r="B410" s="6" t="s">
        <v>1880</v>
      </c>
      <c r="C410" s="6" t="s">
        <v>1886</v>
      </c>
      <c r="D410" s="6" t="s">
        <v>1941</v>
      </c>
    </row>
    <row r="411" spans="1:4" x14ac:dyDescent="0.2">
      <c r="A411" s="6" t="s">
        <v>2292</v>
      </c>
      <c r="B411" s="6" t="s">
        <v>1895</v>
      </c>
      <c r="C411" s="6" t="s">
        <v>2683</v>
      </c>
      <c r="D411" s="6" t="s">
        <v>2685</v>
      </c>
    </row>
    <row r="412" spans="1:4" x14ac:dyDescent="0.2">
      <c r="A412" s="6" t="s">
        <v>2293</v>
      </c>
      <c r="B412" s="6" t="s">
        <v>1880</v>
      </c>
      <c r="C412" s="6" t="s">
        <v>1898</v>
      </c>
      <c r="D412" s="6" t="s">
        <v>2666</v>
      </c>
    </row>
    <row r="413" spans="1:4" x14ac:dyDescent="0.2">
      <c r="A413" s="6" t="s">
        <v>2294</v>
      </c>
      <c r="B413" s="6" t="s">
        <v>1882</v>
      </c>
      <c r="C413" s="6" t="s">
        <v>1917</v>
      </c>
      <c r="D413" s="6" t="s">
        <v>1923</v>
      </c>
    </row>
    <row r="414" spans="1:4" x14ac:dyDescent="0.2">
      <c r="A414" s="6" t="s">
        <v>2295</v>
      </c>
      <c r="B414" s="6" t="s">
        <v>1880</v>
      </c>
      <c r="C414" s="6" t="s">
        <v>1889</v>
      </c>
      <c r="D414" s="6" t="s">
        <v>1927</v>
      </c>
    </row>
    <row r="415" spans="1:4" x14ac:dyDescent="0.2">
      <c r="A415" s="6" t="s">
        <v>2296</v>
      </c>
      <c r="B415" s="6" t="s">
        <v>1880</v>
      </c>
      <c r="C415" s="6" t="s">
        <v>1889</v>
      </c>
      <c r="D415" s="6" t="s">
        <v>2680</v>
      </c>
    </row>
    <row r="416" spans="1:4" x14ac:dyDescent="0.2">
      <c r="A416" s="6" t="s">
        <v>2297</v>
      </c>
      <c r="B416" s="6" t="s">
        <v>1882</v>
      </c>
      <c r="C416" s="6" t="s">
        <v>2681</v>
      </c>
      <c r="D416" s="6" t="s">
        <v>2660</v>
      </c>
    </row>
    <row r="417" spans="1:4" x14ac:dyDescent="0.2">
      <c r="A417" s="6" t="s">
        <v>2298</v>
      </c>
      <c r="B417" s="6" t="s">
        <v>1895</v>
      </c>
      <c r="C417" s="6" t="s">
        <v>1889</v>
      </c>
      <c r="D417" s="6" t="s">
        <v>2687</v>
      </c>
    </row>
    <row r="418" spans="1:4" x14ac:dyDescent="0.2">
      <c r="A418" s="6" t="s">
        <v>2299</v>
      </c>
      <c r="B418" s="6" t="s">
        <v>1895</v>
      </c>
      <c r="C418" s="6" t="s">
        <v>1917</v>
      </c>
      <c r="D418" s="6" t="s">
        <v>2029</v>
      </c>
    </row>
    <row r="419" spans="1:4" x14ac:dyDescent="0.2">
      <c r="A419" s="6" t="s">
        <v>2300</v>
      </c>
      <c r="B419" s="6" t="s">
        <v>1882</v>
      </c>
      <c r="C419" s="6" t="s">
        <v>1475</v>
      </c>
      <c r="D419" s="6" t="s">
        <v>2668</v>
      </c>
    </row>
    <row r="420" spans="1:4" x14ac:dyDescent="0.2">
      <c r="A420" s="6" t="s">
        <v>2301</v>
      </c>
      <c r="B420" s="6" t="s">
        <v>1880</v>
      </c>
      <c r="C420" s="6" t="s">
        <v>1889</v>
      </c>
      <c r="D420" s="6" t="s">
        <v>1927</v>
      </c>
    </row>
    <row r="421" spans="1:4" x14ac:dyDescent="0.2">
      <c r="A421" s="6" t="s">
        <v>2302</v>
      </c>
      <c r="B421" s="6" t="s">
        <v>1880</v>
      </c>
      <c r="C421" s="6" t="s">
        <v>1884</v>
      </c>
      <c r="D421" s="6" t="s">
        <v>2669</v>
      </c>
    </row>
    <row r="422" spans="1:4" x14ac:dyDescent="0.2">
      <c r="A422" s="6" t="s">
        <v>2303</v>
      </c>
      <c r="B422" s="6" t="s">
        <v>1880</v>
      </c>
      <c r="C422" s="6" t="s">
        <v>1898</v>
      </c>
      <c r="D422" s="6" t="s">
        <v>2671</v>
      </c>
    </row>
    <row r="423" spans="1:4" x14ac:dyDescent="0.2">
      <c r="A423" s="6" t="s">
        <v>2304</v>
      </c>
      <c r="B423" s="6" t="s">
        <v>1882</v>
      </c>
      <c r="C423" s="6" t="s">
        <v>1886</v>
      </c>
      <c r="D423" s="6" t="s">
        <v>1941</v>
      </c>
    </row>
    <row r="424" spans="1:4" x14ac:dyDescent="0.2">
      <c r="A424" s="6" t="s">
        <v>2305</v>
      </c>
      <c r="B424" s="6" t="s">
        <v>1895</v>
      </c>
      <c r="C424" s="6" t="s">
        <v>1889</v>
      </c>
      <c r="D424" s="6" t="s">
        <v>2680</v>
      </c>
    </row>
    <row r="425" spans="1:4" x14ac:dyDescent="0.2">
      <c r="A425" s="6" t="s">
        <v>2306</v>
      </c>
      <c r="B425" s="6" t="s">
        <v>1882</v>
      </c>
      <c r="C425" s="6" t="s">
        <v>1917</v>
      </c>
      <c r="D425" s="6" t="s">
        <v>2679</v>
      </c>
    </row>
    <row r="426" spans="1:4" x14ac:dyDescent="0.2">
      <c r="A426" s="6" t="s">
        <v>2307</v>
      </c>
      <c r="B426" s="6" t="s">
        <v>1895</v>
      </c>
      <c r="C426" s="6" t="s">
        <v>2681</v>
      </c>
      <c r="D426" s="6" t="s">
        <v>2667</v>
      </c>
    </row>
    <row r="427" spans="1:4" x14ac:dyDescent="0.2">
      <c r="A427" s="6" t="s">
        <v>1872</v>
      </c>
      <c r="B427" s="6" t="s">
        <v>1895</v>
      </c>
      <c r="C427" s="6" t="s">
        <v>1475</v>
      </c>
      <c r="D427" s="6" t="s">
        <v>2665</v>
      </c>
    </row>
    <row r="428" spans="1:4" x14ac:dyDescent="0.2">
      <c r="A428" s="6" t="s">
        <v>2308</v>
      </c>
      <c r="B428" s="6" t="s">
        <v>1880</v>
      </c>
      <c r="C428" s="6" t="s">
        <v>2681</v>
      </c>
      <c r="D428" s="6" t="s">
        <v>2682</v>
      </c>
    </row>
    <row r="429" spans="1:4" x14ac:dyDescent="0.2">
      <c r="A429" s="6" t="s">
        <v>2309</v>
      </c>
      <c r="B429" s="6" t="s">
        <v>1882</v>
      </c>
      <c r="C429" s="6" t="s">
        <v>2681</v>
      </c>
      <c r="D429" s="6" t="s">
        <v>2660</v>
      </c>
    </row>
    <row r="430" spans="1:4" x14ac:dyDescent="0.2">
      <c r="A430" s="6" t="s">
        <v>2310</v>
      </c>
      <c r="B430" s="6" t="s">
        <v>1880</v>
      </c>
      <c r="C430" s="6" t="s">
        <v>1898</v>
      </c>
      <c r="D430" s="6" t="s">
        <v>2666</v>
      </c>
    </row>
    <row r="431" spans="1:4" x14ac:dyDescent="0.2">
      <c r="A431" s="6" t="s">
        <v>2311</v>
      </c>
      <c r="B431" s="6" t="s">
        <v>1882</v>
      </c>
      <c r="C431" s="6" t="s">
        <v>1898</v>
      </c>
      <c r="D431" s="6" t="s">
        <v>2671</v>
      </c>
    </row>
    <row r="432" spans="1:4" x14ac:dyDescent="0.2">
      <c r="A432" s="6" t="s">
        <v>2312</v>
      </c>
      <c r="B432" s="6" t="s">
        <v>1882</v>
      </c>
      <c r="C432" s="6" t="s">
        <v>1917</v>
      </c>
      <c r="D432" s="6" t="s">
        <v>2679</v>
      </c>
    </row>
    <row r="433" spans="1:4" x14ac:dyDescent="0.2">
      <c r="A433" s="6" t="s">
        <v>2313</v>
      </c>
      <c r="B433" s="6" t="s">
        <v>1882</v>
      </c>
      <c r="C433" s="6" t="s">
        <v>1884</v>
      </c>
      <c r="D433" s="6" t="s">
        <v>2673</v>
      </c>
    </row>
    <row r="434" spans="1:4" x14ac:dyDescent="0.2">
      <c r="A434" s="6" t="s">
        <v>2314</v>
      </c>
      <c r="B434" s="6" t="s">
        <v>1895</v>
      </c>
      <c r="C434" s="6" t="s">
        <v>1917</v>
      </c>
      <c r="D434" s="6" t="s">
        <v>2679</v>
      </c>
    </row>
    <row r="435" spans="1:4" x14ac:dyDescent="0.2">
      <c r="A435" s="6" t="s">
        <v>2315</v>
      </c>
      <c r="B435" s="6" t="s">
        <v>1880</v>
      </c>
      <c r="C435" s="6" t="s">
        <v>1884</v>
      </c>
      <c r="D435" s="6" t="s">
        <v>2673</v>
      </c>
    </row>
    <row r="436" spans="1:4" x14ac:dyDescent="0.2">
      <c r="A436" s="6" t="s">
        <v>2316</v>
      </c>
      <c r="B436" s="6" t="s">
        <v>1895</v>
      </c>
      <c r="C436" s="6" t="s">
        <v>1475</v>
      </c>
      <c r="D436" s="6" t="s">
        <v>2675</v>
      </c>
    </row>
    <row r="437" spans="1:4" x14ac:dyDescent="0.2">
      <c r="A437" s="6" t="s">
        <v>2317</v>
      </c>
      <c r="B437" s="6" t="s">
        <v>1880</v>
      </c>
      <c r="C437" s="6" t="s">
        <v>1917</v>
      </c>
      <c r="D437" s="6" t="s">
        <v>2679</v>
      </c>
    </row>
    <row r="438" spans="1:4" x14ac:dyDescent="0.2">
      <c r="A438" s="6" t="s">
        <v>2318</v>
      </c>
      <c r="B438" s="6" t="s">
        <v>1880</v>
      </c>
      <c r="C438" s="6" t="s">
        <v>1884</v>
      </c>
      <c r="D438" s="6" t="s">
        <v>2669</v>
      </c>
    </row>
    <row r="439" spans="1:4" x14ac:dyDescent="0.2">
      <c r="A439" s="6" t="s">
        <v>2319</v>
      </c>
      <c r="B439" s="6" t="s">
        <v>1895</v>
      </c>
      <c r="C439" s="6" t="s">
        <v>1886</v>
      </c>
      <c r="D439" s="6" t="s">
        <v>2677</v>
      </c>
    </row>
    <row r="440" spans="1:4" x14ac:dyDescent="0.2">
      <c r="A440" s="6" t="s">
        <v>2320</v>
      </c>
      <c r="B440" s="6" t="s">
        <v>1895</v>
      </c>
      <c r="C440" s="6" t="s">
        <v>1475</v>
      </c>
      <c r="D440" s="6" t="s">
        <v>2675</v>
      </c>
    </row>
    <row r="441" spans="1:4" x14ac:dyDescent="0.2">
      <c r="A441" s="6" t="s">
        <v>2321</v>
      </c>
      <c r="B441" s="6" t="s">
        <v>1880</v>
      </c>
      <c r="C441" s="6" t="s">
        <v>2683</v>
      </c>
      <c r="D441" s="6" t="s">
        <v>2684</v>
      </c>
    </row>
    <row r="442" spans="1:4" x14ac:dyDescent="0.2">
      <c r="A442" s="6" t="s">
        <v>2322</v>
      </c>
      <c r="B442" s="6" t="s">
        <v>1880</v>
      </c>
      <c r="C442" s="6" t="s">
        <v>1886</v>
      </c>
      <c r="D442" s="6" t="s">
        <v>2674</v>
      </c>
    </row>
    <row r="443" spans="1:4" x14ac:dyDescent="0.2">
      <c r="A443" s="6" t="s">
        <v>2323</v>
      </c>
      <c r="B443" s="6" t="s">
        <v>1880</v>
      </c>
      <c r="C443" s="6" t="s">
        <v>1898</v>
      </c>
      <c r="D443" s="6" t="s">
        <v>2663</v>
      </c>
    </row>
    <row r="444" spans="1:4" x14ac:dyDescent="0.2">
      <c r="A444" s="6" t="s">
        <v>2324</v>
      </c>
      <c r="B444" s="6" t="s">
        <v>1895</v>
      </c>
      <c r="C444" s="6" t="s">
        <v>1886</v>
      </c>
      <c r="D444" s="6" t="s">
        <v>1887</v>
      </c>
    </row>
    <row r="445" spans="1:4" x14ac:dyDescent="0.2">
      <c r="A445" s="6" t="s">
        <v>2325</v>
      </c>
      <c r="B445" s="6" t="s">
        <v>1880</v>
      </c>
      <c r="C445" s="6" t="s">
        <v>1884</v>
      </c>
      <c r="D445" s="6" t="s">
        <v>2673</v>
      </c>
    </row>
    <row r="446" spans="1:4" x14ac:dyDescent="0.2">
      <c r="A446" s="6" t="s">
        <v>2326</v>
      </c>
      <c r="B446" s="6" t="s">
        <v>1882</v>
      </c>
      <c r="C446" s="6" t="s">
        <v>1884</v>
      </c>
      <c r="D446" s="6" t="s">
        <v>2673</v>
      </c>
    </row>
    <row r="447" spans="1:4" x14ac:dyDescent="0.2">
      <c r="A447" s="6" t="s">
        <v>2327</v>
      </c>
      <c r="B447" s="6" t="s">
        <v>1882</v>
      </c>
      <c r="C447" s="6" t="s">
        <v>1889</v>
      </c>
      <c r="D447" s="6" t="s">
        <v>2687</v>
      </c>
    </row>
    <row r="448" spans="1:4" x14ac:dyDescent="0.2">
      <c r="A448" s="6" t="s">
        <v>2328</v>
      </c>
      <c r="B448" s="6" t="s">
        <v>1895</v>
      </c>
      <c r="C448" s="6" t="s">
        <v>1889</v>
      </c>
      <c r="D448" s="6" t="s">
        <v>1927</v>
      </c>
    </row>
    <row r="449" spans="1:4" x14ac:dyDescent="0.2">
      <c r="A449" s="6" t="s">
        <v>2329</v>
      </c>
      <c r="B449" s="6" t="s">
        <v>1882</v>
      </c>
      <c r="C449" s="6" t="s">
        <v>2681</v>
      </c>
      <c r="D449" s="6" t="s">
        <v>2660</v>
      </c>
    </row>
    <row r="450" spans="1:4" x14ac:dyDescent="0.2">
      <c r="A450" s="6" t="s">
        <v>1871</v>
      </c>
      <c r="B450" s="6" t="s">
        <v>1895</v>
      </c>
      <c r="C450" s="6" t="s">
        <v>1475</v>
      </c>
      <c r="D450" s="6" t="s">
        <v>2675</v>
      </c>
    </row>
    <row r="451" spans="1:4" x14ac:dyDescent="0.2">
      <c r="A451" s="6" t="s">
        <v>2330</v>
      </c>
      <c r="B451" s="6" t="s">
        <v>1882</v>
      </c>
      <c r="C451" s="6" t="s">
        <v>1886</v>
      </c>
      <c r="D451" s="6" t="s">
        <v>1887</v>
      </c>
    </row>
    <row r="452" spans="1:4" x14ac:dyDescent="0.2">
      <c r="A452" s="6" t="s">
        <v>2331</v>
      </c>
      <c r="B452" s="6" t="s">
        <v>1880</v>
      </c>
      <c r="C452" s="6" t="s">
        <v>1475</v>
      </c>
      <c r="D452" s="6" t="s">
        <v>2675</v>
      </c>
    </row>
    <row r="453" spans="1:4" x14ac:dyDescent="0.2">
      <c r="A453" s="6" t="s">
        <v>2332</v>
      </c>
      <c r="B453" s="6" t="s">
        <v>1895</v>
      </c>
      <c r="C453" s="6" t="s">
        <v>1889</v>
      </c>
      <c r="D453" s="6" t="s">
        <v>1927</v>
      </c>
    </row>
    <row r="454" spans="1:4" x14ac:dyDescent="0.2">
      <c r="A454" s="6" t="s">
        <v>2333</v>
      </c>
      <c r="B454" s="6" t="s">
        <v>1880</v>
      </c>
      <c r="C454" s="6" t="s">
        <v>1886</v>
      </c>
      <c r="D454" s="6" t="s">
        <v>2674</v>
      </c>
    </row>
    <row r="455" spans="1:4" x14ac:dyDescent="0.2">
      <c r="A455" s="6" t="s">
        <v>2334</v>
      </c>
      <c r="B455" s="6" t="s">
        <v>1880</v>
      </c>
      <c r="C455" s="6" t="s">
        <v>1475</v>
      </c>
      <c r="D455" s="6" t="s">
        <v>2675</v>
      </c>
    </row>
    <row r="456" spans="1:4" x14ac:dyDescent="0.2">
      <c r="A456" s="6" t="s">
        <v>2335</v>
      </c>
      <c r="B456" s="6" t="s">
        <v>1895</v>
      </c>
      <c r="C456" s="6" t="s">
        <v>2683</v>
      </c>
      <c r="D456" s="6" t="s">
        <v>2684</v>
      </c>
    </row>
    <row r="457" spans="1:4" x14ac:dyDescent="0.2">
      <c r="A457" s="6" t="s">
        <v>2336</v>
      </c>
      <c r="B457" s="6" t="s">
        <v>1880</v>
      </c>
      <c r="C457" s="6" t="s">
        <v>1884</v>
      </c>
      <c r="D457" s="6" t="s">
        <v>2686</v>
      </c>
    </row>
    <row r="458" spans="1:4" x14ac:dyDescent="0.2">
      <c r="A458" s="6" t="s">
        <v>2337</v>
      </c>
      <c r="B458" s="6" t="s">
        <v>1882</v>
      </c>
      <c r="C458" s="6" t="s">
        <v>1886</v>
      </c>
      <c r="D458" s="6" t="s">
        <v>2662</v>
      </c>
    </row>
    <row r="459" spans="1:4" x14ac:dyDescent="0.2">
      <c r="A459" s="6" t="s">
        <v>2338</v>
      </c>
      <c r="B459" s="6" t="s">
        <v>1882</v>
      </c>
      <c r="C459" s="6" t="s">
        <v>1886</v>
      </c>
      <c r="D459" s="6" t="s">
        <v>2677</v>
      </c>
    </row>
    <row r="460" spans="1:4" x14ac:dyDescent="0.2">
      <c r="A460" s="6" t="s">
        <v>2339</v>
      </c>
      <c r="B460" s="6" t="s">
        <v>1880</v>
      </c>
      <c r="C460" s="6" t="s">
        <v>1886</v>
      </c>
      <c r="D460" s="6" t="s">
        <v>2662</v>
      </c>
    </row>
    <row r="461" spans="1:4" x14ac:dyDescent="0.2">
      <c r="A461" s="6" t="s">
        <v>2340</v>
      </c>
      <c r="B461" s="6" t="s">
        <v>1895</v>
      </c>
      <c r="C461" s="6" t="s">
        <v>1475</v>
      </c>
      <c r="D461" s="6" t="s">
        <v>2665</v>
      </c>
    </row>
    <row r="462" spans="1:4" x14ac:dyDescent="0.2">
      <c r="A462" s="6" t="s">
        <v>2341</v>
      </c>
      <c r="B462" s="6" t="s">
        <v>1880</v>
      </c>
      <c r="C462" s="6" t="s">
        <v>1884</v>
      </c>
      <c r="D462" s="6" t="s">
        <v>2673</v>
      </c>
    </row>
    <row r="463" spans="1:4" x14ac:dyDescent="0.2">
      <c r="A463" s="6" t="s">
        <v>2342</v>
      </c>
      <c r="B463" s="6" t="s">
        <v>1895</v>
      </c>
      <c r="C463" s="6" t="s">
        <v>2681</v>
      </c>
      <c r="D463" s="6" t="s">
        <v>2664</v>
      </c>
    </row>
    <row r="464" spans="1:4" x14ac:dyDescent="0.2">
      <c r="A464" s="6" t="s">
        <v>2343</v>
      </c>
      <c r="B464" s="6" t="s">
        <v>1895</v>
      </c>
      <c r="C464" s="6" t="s">
        <v>1475</v>
      </c>
      <c r="D464" s="6" t="s">
        <v>2675</v>
      </c>
    </row>
    <row r="465" spans="1:4" x14ac:dyDescent="0.2">
      <c r="A465" s="6" t="s">
        <v>2344</v>
      </c>
      <c r="B465" s="6" t="s">
        <v>1880</v>
      </c>
      <c r="C465" s="6" t="s">
        <v>2683</v>
      </c>
      <c r="D465" s="6" t="s">
        <v>2684</v>
      </c>
    </row>
    <row r="466" spans="1:4" x14ac:dyDescent="0.2">
      <c r="A466" s="6" t="s">
        <v>2345</v>
      </c>
      <c r="B466" s="6" t="s">
        <v>1895</v>
      </c>
      <c r="C466" s="6" t="s">
        <v>2206</v>
      </c>
      <c r="D466" s="6" t="s">
        <v>2207</v>
      </c>
    </row>
    <row r="467" spans="1:4" x14ac:dyDescent="0.2">
      <c r="A467" s="6" t="s">
        <v>2346</v>
      </c>
      <c r="B467" s="6" t="s">
        <v>1882</v>
      </c>
      <c r="C467" s="6" t="s">
        <v>1898</v>
      </c>
      <c r="D467" s="6" t="s">
        <v>2671</v>
      </c>
    </row>
    <row r="468" spans="1:4" x14ac:dyDescent="0.2">
      <c r="A468" s="6" t="s">
        <v>2347</v>
      </c>
      <c r="B468" s="6" t="s">
        <v>1895</v>
      </c>
      <c r="C468" s="6" t="s">
        <v>1475</v>
      </c>
      <c r="D468" s="6" t="s">
        <v>2675</v>
      </c>
    </row>
    <row r="469" spans="1:4" x14ac:dyDescent="0.2">
      <c r="A469" s="6" t="s">
        <v>2348</v>
      </c>
      <c r="B469" s="6" t="s">
        <v>1895</v>
      </c>
      <c r="C469" s="6" t="s">
        <v>1898</v>
      </c>
      <c r="D469" s="6" t="s">
        <v>2671</v>
      </c>
    </row>
    <row r="470" spans="1:4" x14ac:dyDescent="0.2">
      <c r="A470" s="6" t="s">
        <v>2349</v>
      </c>
      <c r="B470" s="6" t="s">
        <v>1882</v>
      </c>
      <c r="C470" s="6" t="s">
        <v>1884</v>
      </c>
      <c r="D470" s="6" t="s">
        <v>2669</v>
      </c>
    </row>
    <row r="471" spans="1:4" x14ac:dyDescent="0.2">
      <c r="A471" s="6" t="s">
        <v>2350</v>
      </c>
      <c r="B471" s="6" t="s">
        <v>1895</v>
      </c>
      <c r="C471" s="6" t="s">
        <v>1886</v>
      </c>
      <c r="D471" s="6" t="s">
        <v>1941</v>
      </c>
    </row>
    <row r="472" spans="1:4" x14ac:dyDescent="0.2">
      <c r="A472" s="6" t="s">
        <v>2351</v>
      </c>
      <c r="B472" s="6" t="s">
        <v>1882</v>
      </c>
      <c r="C472" s="6" t="s">
        <v>1884</v>
      </c>
      <c r="D472" s="6" t="s">
        <v>2676</v>
      </c>
    </row>
    <row r="473" spans="1:4" x14ac:dyDescent="0.2">
      <c r="A473" s="6" t="s">
        <v>2352</v>
      </c>
      <c r="B473" s="6" t="s">
        <v>1895</v>
      </c>
      <c r="C473" s="6" t="s">
        <v>1898</v>
      </c>
      <c r="D473" s="6" t="s">
        <v>2671</v>
      </c>
    </row>
    <row r="474" spans="1:4" x14ac:dyDescent="0.2">
      <c r="A474" s="6" t="s">
        <v>2353</v>
      </c>
      <c r="B474" s="6" t="s">
        <v>1895</v>
      </c>
      <c r="C474" s="6" t="s">
        <v>1884</v>
      </c>
      <c r="D474" s="6" t="s">
        <v>2669</v>
      </c>
    </row>
    <row r="475" spans="1:4" x14ac:dyDescent="0.2">
      <c r="A475" s="6" t="s">
        <v>2354</v>
      </c>
      <c r="B475" s="6" t="s">
        <v>1880</v>
      </c>
      <c r="C475" s="6" t="s">
        <v>1884</v>
      </c>
      <c r="D475" s="6" t="s">
        <v>2669</v>
      </c>
    </row>
    <row r="476" spans="1:4" x14ac:dyDescent="0.2">
      <c r="A476" s="6" t="s">
        <v>2355</v>
      </c>
      <c r="B476" s="6" t="s">
        <v>1880</v>
      </c>
      <c r="C476" s="6" t="s">
        <v>1884</v>
      </c>
      <c r="D476" s="6" t="s">
        <v>2676</v>
      </c>
    </row>
    <row r="477" spans="1:4" x14ac:dyDescent="0.2">
      <c r="A477" s="6" t="s">
        <v>2356</v>
      </c>
      <c r="B477" s="6" t="s">
        <v>1882</v>
      </c>
      <c r="C477" s="6" t="s">
        <v>1898</v>
      </c>
      <c r="D477" s="6" t="s">
        <v>2671</v>
      </c>
    </row>
    <row r="478" spans="1:4" x14ac:dyDescent="0.2">
      <c r="A478" s="6" t="s">
        <v>2357</v>
      </c>
      <c r="B478" s="6" t="s">
        <v>1880</v>
      </c>
      <c r="C478" s="6" t="s">
        <v>1886</v>
      </c>
      <c r="D478" s="6" t="s">
        <v>1941</v>
      </c>
    </row>
    <row r="479" spans="1:4" x14ac:dyDescent="0.2">
      <c r="A479" s="6" t="s">
        <v>2358</v>
      </c>
      <c r="B479" s="6" t="s">
        <v>1895</v>
      </c>
      <c r="C479" s="6" t="s">
        <v>2681</v>
      </c>
      <c r="D479" s="6" t="s">
        <v>2667</v>
      </c>
    </row>
    <row r="480" spans="1:4" x14ac:dyDescent="0.2">
      <c r="A480" s="6" t="s">
        <v>2359</v>
      </c>
      <c r="B480" s="6" t="s">
        <v>1882</v>
      </c>
      <c r="C480" s="6" t="s">
        <v>1898</v>
      </c>
      <c r="D480" s="6" t="s">
        <v>2671</v>
      </c>
    </row>
    <row r="481" spans="1:4" x14ac:dyDescent="0.2">
      <c r="A481" s="6" t="s">
        <v>2360</v>
      </c>
      <c r="B481" s="6" t="s">
        <v>1880</v>
      </c>
      <c r="C481" s="6" t="s">
        <v>1886</v>
      </c>
      <c r="D481" s="6" t="s">
        <v>1887</v>
      </c>
    </row>
    <row r="482" spans="1:4" x14ac:dyDescent="0.2">
      <c r="A482" s="6" t="s">
        <v>2361</v>
      </c>
      <c r="B482" s="6" t="s">
        <v>1880</v>
      </c>
      <c r="C482" s="6" t="s">
        <v>1889</v>
      </c>
      <c r="D482" s="6" t="s">
        <v>2678</v>
      </c>
    </row>
    <row r="483" spans="1:4" x14ac:dyDescent="0.2">
      <c r="A483" s="6" t="s">
        <v>2362</v>
      </c>
      <c r="B483" s="6" t="s">
        <v>1882</v>
      </c>
      <c r="C483" s="6" t="s">
        <v>1889</v>
      </c>
      <c r="D483" s="6" t="s">
        <v>2680</v>
      </c>
    </row>
    <row r="484" spans="1:4" x14ac:dyDescent="0.2">
      <c r="A484" s="6" t="s">
        <v>2363</v>
      </c>
      <c r="B484" s="6" t="s">
        <v>1882</v>
      </c>
      <c r="C484" s="6" t="s">
        <v>1889</v>
      </c>
      <c r="D484" s="6" t="s">
        <v>2678</v>
      </c>
    </row>
    <row r="485" spans="1:4" x14ac:dyDescent="0.2">
      <c r="A485" s="6" t="s">
        <v>2364</v>
      </c>
      <c r="B485" s="6" t="s">
        <v>1880</v>
      </c>
      <c r="C485" s="6" t="s">
        <v>1884</v>
      </c>
      <c r="D485" s="6" t="s">
        <v>2676</v>
      </c>
    </row>
    <row r="486" spans="1:4" x14ac:dyDescent="0.2">
      <c r="A486" s="6" t="s">
        <v>2365</v>
      </c>
      <c r="B486" s="6" t="s">
        <v>1880</v>
      </c>
      <c r="C486" s="6" t="s">
        <v>1889</v>
      </c>
      <c r="D486" s="6" t="s">
        <v>1927</v>
      </c>
    </row>
    <row r="487" spans="1:4" x14ac:dyDescent="0.2">
      <c r="A487" s="6" t="s">
        <v>2366</v>
      </c>
      <c r="B487" s="6" t="s">
        <v>1893</v>
      </c>
      <c r="C487" s="6" t="s">
        <v>2681</v>
      </c>
      <c r="D487" s="6" t="s">
        <v>2667</v>
      </c>
    </row>
    <row r="488" spans="1:4" x14ac:dyDescent="0.2">
      <c r="A488" s="6" t="s">
        <v>2367</v>
      </c>
      <c r="B488" s="6" t="s">
        <v>1880</v>
      </c>
      <c r="C488" s="6" t="s">
        <v>2681</v>
      </c>
      <c r="D488" s="6" t="s">
        <v>2667</v>
      </c>
    </row>
    <row r="489" spans="1:4" x14ac:dyDescent="0.2">
      <c r="A489" s="6" t="s">
        <v>2368</v>
      </c>
      <c r="B489" s="6" t="s">
        <v>1882</v>
      </c>
      <c r="C489" s="6" t="s">
        <v>1884</v>
      </c>
      <c r="D489" s="6" t="s">
        <v>2669</v>
      </c>
    </row>
    <row r="490" spans="1:4" x14ac:dyDescent="0.2">
      <c r="A490" s="6" t="s">
        <v>2369</v>
      </c>
      <c r="B490" s="6" t="s">
        <v>1880</v>
      </c>
      <c r="C490" s="6" t="s">
        <v>1889</v>
      </c>
      <c r="D490" s="6" t="s">
        <v>2678</v>
      </c>
    </row>
    <row r="491" spans="1:4" x14ac:dyDescent="0.2">
      <c r="A491" s="6" t="s">
        <v>2370</v>
      </c>
      <c r="B491" s="6" t="s">
        <v>1895</v>
      </c>
      <c r="C491" s="6" t="s">
        <v>1898</v>
      </c>
      <c r="D491" s="6" t="s">
        <v>2671</v>
      </c>
    </row>
    <row r="492" spans="1:4" x14ac:dyDescent="0.2">
      <c r="A492" s="6" t="s">
        <v>2371</v>
      </c>
      <c r="B492" s="6" t="s">
        <v>1880</v>
      </c>
      <c r="C492" s="6" t="s">
        <v>1886</v>
      </c>
      <c r="D492" s="6" t="s">
        <v>2677</v>
      </c>
    </row>
    <row r="493" spans="1:4" x14ac:dyDescent="0.2">
      <c r="A493" s="6" t="s">
        <v>2372</v>
      </c>
      <c r="B493" s="6" t="s">
        <v>1880</v>
      </c>
      <c r="C493" s="6" t="s">
        <v>1886</v>
      </c>
      <c r="D493" s="6" t="s">
        <v>2662</v>
      </c>
    </row>
    <row r="494" spans="1:4" x14ac:dyDescent="0.2">
      <c r="A494" s="6" t="s">
        <v>2373</v>
      </c>
      <c r="B494" s="6" t="s">
        <v>1895</v>
      </c>
      <c r="C494" s="6" t="s">
        <v>2681</v>
      </c>
      <c r="D494" s="6" t="s">
        <v>2660</v>
      </c>
    </row>
    <row r="495" spans="1:4" x14ac:dyDescent="0.2">
      <c r="A495" s="6" t="s">
        <v>2374</v>
      </c>
      <c r="B495" s="6" t="s">
        <v>1882</v>
      </c>
      <c r="C495" s="6" t="s">
        <v>1898</v>
      </c>
      <c r="D495" s="6" t="s">
        <v>2663</v>
      </c>
    </row>
    <row r="496" spans="1:4" x14ac:dyDescent="0.2">
      <c r="A496" s="6" t="s">
        <v>2375</v>
      </c>
      <c r="B496" s="6" t="s">
        <v>1880</v>
      </c>
      <c r="C496" s="6" t="s">
        <v>1917</v>
      </c>
      <c r="D496" s="6" t="s">
        <v>1923</v>
      </c>
    </row>
    <row r="497" spans="1:4" x14ac:dyDescent="0.2">
      <c r="A497" s="6" t="s">
        <v>2376</v>
      </c>
      <c r="B497" s="6" t="s">
        <v>1882</v>
      </c>
      <c r="C497" s="6" t="s">
        <v>1889</v>
      </c>
      <c r="D497" s="6" t="s">
        <v>2680</v>
      </c>
    </row>
    <row r="498" spans="1:4" x14ac:dyDescent="0.2">
      <c r="A498" s="6" t="s">
        <v>2377</v>
      </c>
      <c r="B498" s="6" t="s">
        <v>1895</v>
      </c>
      <c r="C498" s="6" t="s">
        <v>1884</v>
      </c>
      <c r="D498" s="6" t="s">
        <v>2676</v>
      </c>
    </row>
    <row r="499" spans="1:4" x14ac:dyDescent="0.2">
      <c r="A499" s="6" t="s">
        <v>2378</v>
      </c>
      <c r="B499" s="6" t="s">
        <v>1882</v>
      </c>
      <c r="C499" s="6" t="s">
        <v>1889</v>
      </c>
      <c r="D499" s="6" t="s">
        <v>2678</v>
      </c>
    </row>
    <row r="500" spans="1:4" x14ac:dyDescent="0.2">
      <c r="A500" s="6" t="s">
        <v>2379</v>
      </c>
      <c r="B500" s="6" t="s">
        <v>1882</v>
      </c>
      <c r="C500" s="6" t="s">
        <v>1884</v>
      </c>
      <c r="D500" s="6" t="s">
        <v>2676</v>
      </c>
    </row>
    <row r="501" spans="1:4" x14ac:dyDescent="0.2">
      <c r="A501" s="6" t="s">
        <v>2380</v>
      </c>
      <c r="B501" s="6" t="s">
        <v>1909</v>
      </c>
      <c r="C501" s="6" t="s">
        <v>1884</v>
      </c>
      <c r="D501" s="6" t="s">
        <v>2669</v>
      </c>
    </row>
    <row r="502" spans="1:4" x14ac:dyDescent="0.2">
      <c r="A502" s="6" t="s">
        <v>2381</v>
      </c>
      <c r="B502" s="6" t="s">
        <v>1895</v>
      </c>
      <c r="C502" s="6" t="s">
        <v>1898</v>
      </c>
      <c r="D502" s="6" t="s">
        <v>2671</v>
      </c>
    </row>
    <row r="503" spans="1:4" x14ac:dyDescent="0.2">
      <c r="A503" s="6" t="s">
        <v>2382</v>
      </c>
      <c r="B503" s="6" t="s">
        <v>1895</v>
      </c>
      <c r="C503" s="6" t="s">
        <v>1475</v>
      </c>
      <c r="D503" s="6" t="s">
        <v>2675</v>
      </c>
    </row>
    <row r="504" spans="1:4" x14ac:dyDescent="0.2">
      <c r="A504" s="6" t="s">
        <v>2383</v>
      </c>
      <c r="B504" s="6" t="s">
        <v>1882</v>
      </c>
      <c r="C504" s="6" t="s">
        <v>1917</v>
      </c>
      <c r="D504" s="6" t="s">
        <v>2679</v>
      </c>
    </row>
    <row r="505" spans="1:4" x14ac:dyDescent="0.2">
      <c r="A505" s="6" t="s">
        <v>2384</v>
      </c>
      <c r="B505" s="6" t="s">
        <v>1882</v>
      </c>
      <c r="C505" s="6" t="s">
        <v>1886</v>
      </c>
      <c r="D505" s="6" t="s">
        <v>2674</v>
      </c>
    </row>
    <row r="506" spans="1:4" x14ac:dyDescent="0.2">
      <c r="A506" s="6" t="s">
        <v>2385</v>
      </c>
      <c r="B506" s="6" t="s">
        <v>1895</v>
      </c>
      <c r="C506" s="6" t="s">
        <v>1917</v>
      </c>
      <c r="D506" s="6" t="s">
        <v>2679</v>
      </c>
    </row>
    <row r="507" spans="1:4" x14ac:dyDescent="0.2">
      <c r="A507" s="6" t="s">
        <v>2386</v>
      </c>
      <c r="B507" s="6" t="s">
        <v>1895</v>
      </c>
      <c r="C507" s="6" t="s">
        <v>1886</v>
      </c>
      <c r="D507" s="6" t="s">
        <v>2677</v>
      </c>
    </row>
    <row r="508" spans="1:4" x14ac:dyDescent="0.2">
      <c r="A508" s="6" t="s">
        <v>2387</v>
      </c>
      <c r="B508" s="6" t="s">
        <v>1882</v>
      </c>
      <c r="C508" s="6" t="s">
        <v>1917</v>
      </c>
      <c r="D508" s="6" t="s">
        <v>2679</v>
      </c>
    </row>
    <row r="509" spans="1:4" x14ac:dyDescent="0.2">
      <c r="A509" s="6" t="s">
        <v>2388</v>
      </c>
      <c r="B509" s="6" t="s">
        <v>1880</v>
      </c>
      <c r="C509" s="6" t="s">
        <v>1884</v>
      </c>
      <c r="D509" s="6" t="s">
        <v>2673</v>
      </c>
    </row>
    <row r="510" spans="1:4" x14ac:dyDescent="0.2">
      <c r="A510" s="6" t="s">
        <v>2389</v>
      </c>
      <c r="B510" s="6" t="s">
        <v>1880</v>
      </c>
      <c r="C510" s="6" t="s">
        <v>1898</v>
      </c>
      <c r="D510" s="6" t="s">
        <v>2671</v>
      </c>
    </row>
    <row r="511" spans="1:4" x14ac:dyDescent="0.2">
      <c r="A511" s="6" t="s">
        <v>2390</v>
      </c>
      <c r="B511" s="6" t="s">
        <v>1880</v>
      </c>
      <c r="C511" s="6" t="s">
        <v>1898</v>
      </c>
      <c r="D511" s="6" t="s">
        <v>2663</v>
      </c>
    </row>
    <row r="512" spans="1:4" x14ac:dyDescent="0.2">
      <c r="A512" s="6" t="s">
        <v>2391</v>
      </c>
      <c r="B512" s="6" t="s">
        <v>1880</v>
      </c>
      <c r="C512" s="6" t="s">
        <v>1889</v>
      </c>
      <c r="D512" s="6" t="s">
        <v>1927</v>
      </c>
    </row>
    <row r="513" spans="1:4" x14ac:dyDescent="0.2">
      <c r="A513" s="6" t="s">
        <v>2392</v>
      </c>
      <c r="B513" s="6" t="s">
        <v>1882</v>
      </c>
      <c r="C513" s="6" t="s">
        <v>1917</v>
      </c>
      <c r="D513" s="6" t="s">
        <v>1923</v>
      </c>
    </row>
    <row r="514" spans="1:4" x14ac:dyDescent="0.2">
      <c r="A514" s="6" t="s">
        <v>2393</v>
      </c>
      <c r="B514" s="6" t="s">
        <v>1895</v>
      </c>
      <c r="C514" s="6" t="s">
        <v>1917</v>
      </c>
      <c r="D514" s="6" t="s">
        <v>1923</v>
      </c>
    </row>
    <row r="515" spans="1:4" x14ac:dyDescent="0.2">
      <c r="A515" s="6" t="s">
        <v>2394</v>
      </c>
      <c r="B515" s="6" t="s">
        <v>1880</v>
      </c>
      <c r="C515" s="6" t="s">
        <v>1917</v>
      </c>
      <c r="D515" s="6" t="s">
        <v>2679</v>
      </c>
    </row>
    <row r="516" spans="1:4" x14ac:dyDescent="0.2">
      <c r="A516" s="6" t="s">
        <v>2395</v>
      </c>
      <c r="B516" s="6" t="s">
        <v>1880</v>
      </c>
      <c r="C516" s="6" t="s">
        <v>1886</v>
      </c>
      <c r="D516" s="6" t="s">
        <v>2677</v>
      </c>
    </row>
    <row r="517" spans="1:4" x14ac:dyDescent="0.2">
      <c r="A517" s="6" t="s">
        <v>2396</v>
      </c>
      <c r="B517" s="6" t="s">
        <v>1880</v>
      </c>
      <c r="C517" s="6" t="s">
        <v>1884</v>
      </c>
      <c r="D517" s="6" t="s">
        <v>2673</v>
      </c>
    </row>
    <row r="518" spans="1:4" x14ac:dyDescent="0.2">
      <c r="A518" s="6" t="s">
        <v>2397</v>
      </c>
      <c r="B518" s="6" t="s">
        <v>1880</v>
      </c>
      <c r="C518" s="6" t="s">
        <v>1886</v>
      </c>
      <c r="D518" s="6" t="s">
        <v>1887</v>
      </c>
    </row>
    <row r="519" spans="1:4" x14ac:dyDescent="0.2">
      <c r="A519" s="6" t="s">
        <v>2398</v>
      </c>
      <c r="B519" s="6" t="s">
        <v>1895</v>
      </c>
      <c r="C519" s="6" t="s">
        <v>2681</v>
      </c>
      <c r="D519" s="6" t="s">
        <v>2682</v>
      </c>
    </row>
    <row r="520" spans="1:4" x14ac:dyDescent="0.2">
      <c r="A520" s="6" t="s">
        <v>2399</v>
      </c>
      <c r="B520" s="6" t="s">
        <v>1882</v>
      </c>
      <c r="C520" s="6" t="s">
        <v>1884</v>
      </c>
      <c r="D520" s="6" t="s">
        <v>2686</v>
      </c>
    </row>
    <row r="521" spans="1:4" x14ac:dyDescent="0.2">
      <c r="A521" s="6" t="s">
        <v>2400</v>
      </c>
      <c r="B521" s="6" t="s">
        <v>1893</v>
      </c>
      <c r="C521" s="6" t="s">
        <v>1898</v>
      </c>
      <c r="D521" s="6" t="s">
        <v>2671</v>
      </c>
    </row>
    <row r="522" spans="1:4" x14ac:dyDescent="0.2">
      <c r="A522" s="6" t="s">
        <v>2401</v>
      </c>
      <c r="B522" s="6" t="s">
        <v>1882</v>
      </c>
      <c r="C522" s="6" t="s">
        <v>1884</v>
      </c>
      <c r="D522" s="6" t="s">
        <v>2686</v>
      </c>
    </row>
    <row r="523" spans="1:4" x14ac:dyDescent="0.2">
      <c r="A523" s="6" t="s">
        <v>2402</v>
      </c>
      <c r="B523" s="6" t="s">
        <v>1880</v>
      </c>
      <c r="C523" s="6" t="s">
        <v>1884</v>
      </c>
      <c r="D523" s="6" t="s">
        <v>2673</v>
      </c>
    </row>
    <row r="524" spans="1:4" x14ac:dyDescent="0.2">
      <c r="A524" s="6" t="s">
        <v>2403</v>
      </c>
      <c r="B524" s="6" t="s">
        <v>1882</v>
      </c>
      <c r="C524" s="6" t="s">
        <v>1889</v>
      </c>
      <c r="D524" s="6" t="s">
        <v>1927</v>
      </c>
    </row>
    <row r="525" spans="1:4" x14ac:dyDescent="0.2">
      <c r="A525" s="6" t="s">
        <v>2404</v>
      </c>
      <c r="B525" s="6" t="s">
        <v>1895</v>
      </c>
      <c r="C525" s="6" t="s">
        <v>1898</v>
      </c>
      <c r="D525" s="6" t="s">
        <v>2666</v>
      </c>
    </row>
    <row r="526" spans="1:4" x14ac:dyDescent="0.2">
      <c r="A526" s="6" t="s">
        <v>2405</v>
      </c>
      <c r="B526" s="6" t="s">
        <v>1880</v>
      </c>
      <c r="C526" s="6" t="s">
        <v>1917</v>
      </c>
      <c r="D526" s="6" t="s">
        <v>2679</v>
      </c>
    </row>
    <row r="527" spans="1:4" x14ac:dyDescent="0.2">
      <c r="A527" s="6" t="s">
        <v>2406</v>
      </c>
      <c r="B527" s="6" t="s">
        <v>1880</v>
      </c>
      <c r="C527" s="6" t="s">
        <v>1884</v>
      </c>
      <c r="D527" s="6" t="s">
        <v>2673</v>
      </c>
    </row>
    <row r="528" spans="1:4" x14ac:dyDescent="0.2">
      <c r="A528" s="6" t="s">
        <v>2407</v>
      </c>
      <c r="B528" s="6" t="s">
        <v>1882</v>
      </c>
      <c r="C528" s="6" t="s">
        <v>1917</v>
      </c>
      <c r="D528" s="6" t="s">
        <v>2029</v>
      </c>
    </row>
    <row r="529" spans="1:4" x14ac:dyDescent="0.2">
      <c r="A529" s="6" t="s">
        <v>2408</v>
      </c>
      <c r="B529" s="6" t="s">
        <v>1882</v>
      </c>
      <c r="C529" s="6" t="s">
        <v>1475</v>
      </c>
      <c r="D529" s="6" t="s">
        <v>2668</v>
      </c>
    </row>
    <row r="530" spans="1:4" x14ac:dyDescent="0.2">
      <c r="A530" s="6" t="s">
        <v>2409</v>
      </c>
      <c r="B530" s="6" t="s">
        <v>1895</v>
      </c>
      <c r="C530" s="6" t="s">
        <v>2681</v>
      </c>
      <c r="D530" s="6" t="s">
        <v>2667</v>
      </c>
    </row>
    <row r="531" spans="1:4" x14ac:dyDescent="0.2">
      <c r="A531" s="6" t="s">
        <v>2410</v>
      </c>
      <c r="B531" s="6" t="s">
        <v>1895</v>
      </c>
      <c r="C531" s="6" t="s">
        <v>2681</v>
      </c>
      <c r="D531" s="6" t="s">
        <v>2682</v>
      </c>
    </row>
    <row r="532" spans="1:4" x14ac:dyDescent="0.2">
      <c r="A532" s="6" t="s">
        <v>2411</v>
      </c>
      <c r="B532" s="6" t="s">
        <v>1880</v>
      </c>
      <c r="C532" s="6" t="s">
        <v>1475</v>
      </c>
      <c r="D532" s="6" t="s">
        <v>2668</v>
      </c>
    </row>
    <row r="533" spans="1:4" x14ac:dyDescent="0.2">
      <c r="A533" s="6" t="s">
        <v>2412</v>
      </c>
      <c r="B533" s="6" t="s">
        <v>1895</v>
      </c>
      <c r="C533" s="6" t="s">
        <v>1898</v>
      </c>
      <c r="D533" s="6" t="s">
        <v>2663</v>
      </c>
    </row>
    <row r="534" spans="1:4" x14ac:dyDescent="0.2">
      <c r="A534" s="6" t="s">
        <v>2413</v>
      </c>
      <c r="B534" s="6" t="s">
        <v>1882</v>
      </c>
      <c r="C534" s="6" t="s">
        <v>1898</v>
      </c>
      <c r="D534" s="6" t="s">
        <v>2671</v>
      </c>
    </row>
    <row r="535" spans="1:4" x14ac:dyDescent="0.2">
      <c r="A535" s="6" t="s">
        <v>2414</v>
      </c>
      <c r="B535" s="6" t="s">
        <v>1882</v>
      </c>
      <c r="C535" s="6" t="s">
        <v>1886</v>
      </c>
      <c r="D535" s="6" t="s">
        <v>2674</v>
      </c>
    </row>
    <row r="536" spans="1:4" x14ac:dyDescent="0.2">
      <c r="A536" s="6" t="s">
        <v>2415</v>
      </c>
      <c r="B536" s="6" t="s">
        <v>1895</v>
      </c>
      <c r="C536" s="6" t="s">
        <v>1886</v>
      </c>
      <c r="D536" s="6" t="s">
        <v>2677</v>
      </c>
    </row>
    <row r="537" spans="1:4" x14ac:dyDescent="0.2">
      <c r="A537" s="6" t="s">
        <v>2416</v>
      </c>
      <c r="B537" s="6" t="s">
        <v>1880</v>
      </c>
      <c r="C537" s="6" t="s">
        <v>1886</v>
      </c>
      <c r="D537" s="6" t="s">
        <v>1887</v>
      </c>
    </row>
    <row r="538" spans="1:4" x14ac:dyDescent="0.2">
      <c r="A538" s="6" t="s">
        <v>2417</v>
      </c>
      <c r="B538" s="6" t="s">
        <v>1882</v>
      </c>
      <c r="C538" s="6" t="s">
        <v>1917</v>
      </c>
      <c r="D538" s="6" t="s">
        <v>1923</v>
      </c>
    </row>
    <row r="539" spans="1:4" x14ac:dyDescent="0.2">
      <c r="A539" s="6" t="s">
        <v>2418</v>
      </c>
      <c r="B539" s="6" t="s">
        <v>1882</v>
      </c>
      <c r="C539" s="6" t="s">
        <v>1884</v>
      </c>
      <c r="D539" s="6" t="s">
        <v>2669</v>
      </c>
    </row>
    <row r="540" spans="1:4" x14ac:dyDescent="0.2">
      <c r="A540" s="6" t="s">
        <v>2419</v>
      </c>
      <c r="B540" s="6" t="s">
        <v>1880</v>
      </c>
      <c r="C540" s="6" t="s">
        <v>2681</v>
      </c>
      <c r="D540" s="6" t="s">
        <v>2660</v>
      </c>
    </row>
    <row r="541" spans="1:4" x14ac:dyDescent="0.2">
      <c r="A541" s="6" t="s">
        <v>2420</v>
      </c>
      <c r="B541" s="6" t="s">
        <v>1880</v>
      </c>
      <c r="C541" s="6" t="s">
        <v>1917</v>
      </c>
      <c r="D541" s="6" t="s">
        <v>2679</v>
      </c>
    </row>
    <row r="542" spans="1:4" x14ac:dyDescent="0.2">
      <c r="A542" s="6" t="s">
        <v>2421</v>
      </c>
      <c r="B542" s="6" t="s">
        <v>1893</v>
      </c>
      <c r="C542" s="6" t="s">
        <v>1886</v>
      </c>
      <c r="D542" s="6" t="s">
        <v>2662</v>
      </c>
    </row>
    <row r="543" spans="1:4" x14ac:dyDescent="0.2">
      <c r="A543" s="6" t="s">
        <v>2422</v>
      </c>
      <c r="B543" s="6" t="s">
        <v>1880</v>
      </c>
      <c r="C543" s="6" t="s">
        <v>1884</v>
      </c>
      <c r="D543" s="6" t="s">
        <v>2676</v>
      </c>
    </row>
    <row r="544" spans="1:4" x14ac:dyDescent="0.2">
      <c r="A544" s="6" t="s">
        <v>2423</v>
      </c>
      <c r="B544" s="6" t="s">
        <v>1880</v>
      </c>
      <c r="C544" s="6" t="s">
        <v>1917</v>
      </c>
      <c r="D544" s="6" t="s">
        <v>2679</v>
      </c>
    </row>
    <row r="545" spans="1:4" x14ac:dyDescent="0.2">
      <c r="A545" s="6" t="s">
        <v>2424</v>
      </c>
      <c r="B545" s="6" t="s">
        <v>1882</v>
      </c>
      <c r="C545" s="6" t="s">
        <v>1886</v>
      </c>
      <c r="D545" s="6" t="s">
        <v>2674</v>
      </c>
    </row>
    <row r="546" spans="1:4" x14ac:dyDescent="0.2">
      <c r="A546" s="6" t="s">
        <v>2425</v>
      </c>
      <c r="B546" s="6" t="s">
        <v>1880</v>
      </c>
      <c r="C546" s="6" t="s">
        <v>2681</v>
      </c>
      <c r="D546" s="6" t="s">
        <v>2667</v>
      </c>
    </row>
    <row r="547" spans="1:4" x14ac:dyDescent="0.2">
      <c r="A547" s="6" t="s">
        <v>2426</v>
      </c>
      <c r="B547" s="6" t="s">
        <v>1882</v>
      </c>
      <c r="C547" s="6" t="s">
        <v>2681</v>
      </c>
      <c r="D547" s="6" t="s">
        <v>2682</v>
      </c>
    </row>
    <row r="548" spans="1:4" x14ac:dyDescent="0.2">
      <c r="A548" s="6" t="s">
        <v>2427</v>
      </c>
      <c r="B548" s="6" t="s">
        <v>1880</v>
      </c>
      <c r="C548" s="6" t="s">
        <v>1886</v>
      </c>
      <c r="D548" s="6" t="s">
        <v>1887</v>
      </c>
    </row>
    <row r="549" spans="1:4" x14ac:dyDescent="0.2">
      <c r="A549" s="6" t="s">
        <v>2428</v>
      </c>
      <c r="B549" s="6" t="s">
        <v>1882</v>
      </c>
      <c r="C549" s="6" t="s">
        <v>1884</v>
      </c>
      <c r="D549" s="6" t="s">
        <v>2669</v>
      </c>
    </row>
    <row r="550" spans="1:4" x14ac:dyDescent="0.2">
      <c r="A550" s="6" t="s">
        <v>2429</v>
      </c>
      <c r="B550" s="6" t="s">
        <v>1882</v>
      </c>
      <c r="C550" s="6" t="s">
        <v>1898</v>
      </c>
      <c r="D550" s="6" t="s">
        <v>2663</v>
      </c>
    </row>
    <row r="551" spans="1:4" x14ac:dyDescent="0.2">
      <c r="A551" s="6" t="s">
        <v>2430</v>
      </c>
      <c r="B551" s="6" t="s">
        <v>1880</v>
      </c>
      <c r="C551" s="6" t="s">
        <v>2683</v>
      </c>
      <c r="D551" s="6" t="s">
        <v>2684</v>
      </c>
    </row>
    <row r="552" spans="1:4" x14ac:dyDescent="0.2">
      <c r="A552" s="6" t="s">
        <v>2431</v>
      </c>
      <c r="B552" s="6" t="s">
        <v>1895</v>
      </c>
      <c r="C552" s="6" t="s">
        <v>1884</v>
      </c>
      <c r="D552" s="6" t="s">
        <v>2676</v>
      </c>
    </row>
    <row r="553" spans="1:4" x14ac:dyDescent="0.2">
      <c r="A553" s="6" t="s">
        <v>2432</v>
      </c>
      <c r="B553" s="6" t="s">
        <v>1895</v>
      </c>
      <c r="C553" s="6" t="s">
        <v>2681</v>
      </c>
      <c r="D553" s="6" t="s">
        <v>2660</v>
      </c>
    </row>
    <row r="554" spans="1:4" x14ac:dyDescent="0.2">
      <c r="A554" s="6" t="s">
        <v>2433</v>
      </c>
      <c r="B554" s="6" t="s">
        <v>1895</v>
      </c>
      <c r="C554" s="6" t="s">
        <v>1886</v>
      </c>
      <c r="D554" s="6" t="s">
        <v>1887</v>
      </c>
    </row>
    <row r="555" spans="1:4" x14ac:dyDescent="0.2">
      <c r="A555" s="6" t="s">
        <v>2434</v>
      </c>
      <c r="B555" s="6" t="s">
        <v>1895</v>
      </c>
      <c r="C555" s="6" t="s">
        <v>2681</v>
      </c>
      <c r="D555" s="6" t="s">
        <v>2667</v>
      </c>
    </row>
    <row r="556" spans="1:4" x14ac:dyDescent="0.2">
      <c r="A556" s="6" t="s">
        <v>2435</v>
      </c>
      <c r="B556" s="6" t="s">
        <v>1895</v>
      </c>
      <c r="C556" s="6" t="s">
        <v>2683</v>
      </c>
      <c r="D556" s="6" t="s">
        <v>2685</v>
      </c>
    </row>
    <row r="557" spans="1:4" x14ac:dyDescent="0.2">
      <c r="A557" s="6" t="s">
        <v>2436</v>
      </c>
      <c r="B557" s="6" t="s">
        <v>1895</v>
      </c>
      <c r="C557" s="6" t="s">
        <v>2681</v>
      </c>
      <c r="D557" s="6" t="s">
        <v>2664</v>
      </c>
    </row>
    <row r="558" spans="1:4" x14ac:dyDescent="0.2">
      <c r="A558" s="6" t="s">
        <v>2437</v>
      </c>
      <c r="B558" s="6" t="s">
        <v>1880</v>
      </c>
      <c r="C558" s="6" t="s">
        <v>1884</v>
      </c>
      <c r="D558" s="6" t="s">
        <v>2669</v>
      </c>
    </row>
    <row r="559" spans="1:4" x14ac:dyDescent="0.2">
      <c r="A559" s="6" t="s">
        <v>2438</v>
      </c>
      <c r="B559" s="6" t="s">
        <v>1882</v>
      </c>
      <c r="C559" s="6" t="s">
        <v>1898</v>
      </c>
      <c r="D559" s="6" t="s">
        <v>2671</v>
      </c>
    </row>
    <row r="560" spans="1:4" x14ac:dyDescent="0.2">
      <c r="A560" s="6" t="s">
        <v>1861</v>
      </c>
      <c r="B560" s="6" t="s">
        <v>1882</v>
      </c>
      <c r="C560" s="6" t="s">
        <v>1475</v>
      </c>
      <c r="D560" s="6" t="s">
        <v>2675</v>
      </c>
    </row>
    <row r="561" spans="1:4" x14ac:dyDescent="0.2">
      <c r="A561" s="6" t="s">
        <v>2439</v>
      </c>
      <c r="B561" s="6" t="s">
        <v>1880</v>
      </c>
      <c r="C561" s="6" t="s">
        <v>1884</v>
      </c>
      <c r="D561" s="6" t="s">
        <v>2669</v>
      </c>
    </row>
    <row r="562" spans="1:4" x14ac:dyDescent="0.2">
      <c r="A562" s="6" t="s">
        <v>2440</v>
      </c>
      <c r="B562" s="6" t="s">
        <v>1895</v>
      </c>
      <c r="C562" s="6" t="s">
        <v>1475</v>
      </c>
      <c r="D562" s="6" t="s">
        <v>2675</v>
      </c>
    </row>
    <row r="563" spans="1:4" x14ac:dyDescent="0.2">
      <c r="A563" s="6" t="s">
        <v>2441</v>
      </c>
      <c r="B563" s="6" t="s">
        <v>1882</v>
      </c>
      <c r="C563" s="6" t="s">
        <v>1886</v>
      </c>
      <c r="D563" s="6" t="s">
        <v>2674</v>
      </c>
    </row>
    <row r="564" spans="1:4" x14ac:dyDescent="0.2">
      <c r="A564" s="6" t="s">
        <v>2442</v>
      </c>
      <c r="B564" s="6" t="s">
        <v>1880</v>
      </c>
      <c r="C564" s="6" t="s">
        <v>1886</v>
      </c>
      <c r="D564" s="6" t="s">
        <v>2662</v>
      </c>
    </row>
    <row r="565" spans="1:4" x14ac:dyDescent="0.2">
      <c r="A565" s="6" t="s">
        <v>2443</v>
      </c>
      <c r="B565" s="6" t="s">
        <v>1895</v>
      </c>
      <c r="C565" s="6" t="s">
        <v>1884</v>
      </c>
      <c r="D565" s="6" t="s">
        <v>2676</v>
      </c>
    </row>
    <row r="566" spans="1:4" x14ac:dyDescent="0.2">
      <c r="A566" s="6" t="s">
        <v>2444</v>
      </c>
      <c r="B566" s="6" t="s">
        <v>1880</v>
      </c>
      <c r="C566" s="6" t="s">
        <v>2681</v>
      </c>
      <c r="D566" s="6" t="s">
        <v>2660</v>
      </c>
    </row>
    <row r="567" spans="1:4" x14ac:dyDescent="0.2">
      <c r="A567" s="6" t="s">
        <v>2445</v>
      </c>
      <c r="B567" s="6" t="s">
        <v>1882</v>
      </c>
      <c r="C567" s="6" t="s">
        <v>1917</v>
      </c>
      <c r="D567" s="6" t="s">
        <v>1923</v>
      </c>
    </row>
    <row r="568" spans="1:4" x14ac:dyDescent="0.2">
      <c r="A568" s="6" t="s">
        <v>2446</v>
      </c>
      <c r="B568" s="6" t="s">
        <v>1882</v>
      </c>
      <c r="C568" s="6" t="s">
        <v>2681</v>
      </c>
      <c r="D568" s="6" t="s">
        <v>2667</v>
      </c>
    </row>
    <row r="569" spans="1:4" x14ac:dyDescent="0.2">
      <c r="A569" s="6" t="s">
        <v>2447</v>
      </c>
      <c r="B569" s="6" t="s">
        <v>1880</v>
      </c>
      <c r="C569" s="6" t="s">
        <v>1884</v>
      </c>
      <c r="D569" s="6" t="s">
        <v>2676</v>
      </c>
    </row>
    <row r="570" spans="1:4" x14ac:dyDescent="0.2">
      <c r="A570" s="6" t="s">
        <v>2448</v>
      </c>
      <c r="B570" s="6" t="s">
        <v>1882</v>
      </c>
      <c r="C570" s="6" t="s">
        <v>1898</v>
      </c>
      <c r="D570" s="6" t="s">
        <v>2666</v>
      </c>
    </row>
    <row r="571" spans="1:4" x14ac:dyDescent="0.2">
      <c r="A571" s="6" t="s">
        <v>2449</v>
      </c>
      <c r="B571" s="6" t="s">
        <v>1895</v>
      </c>
      <c r="C571" s="6" t="s">
        <v>1917</v>
      </c>
      <c r="D571" s="6" t="s">
        <v>2679</v>
      </c>
    </row>
    <row r="572" spans="1:4" x14ac:dyDescent="0.2">
      <c r="A572" s="6" t="s">
        <v>2450</v>
      </c>
      <c r="B572" s="6" t="s">
        <v>1893</v>
      </c>
      <c r="C572" s="6" t="s">
        <v>2681</v>
      </c>
      <c r="D572" s="6" t="s">
        <v>2660</v>
      </c>
    </row>
    <row r="573" spans="1:4" x14ac:dyDescent="0.2">
      <c r="A573" s="6" t="s">
        <v>2451</v>
      </c>
      <c r="B573" s="6" t="s">
        <v>1895</v>
      </c>
      <c r="C573" s="6" t="s">
        <v>1886</v>
      </c>
      <c r="D573" s="6" t="s">
        <v>2662</v>
      </c>
    </row>
    <row r="574" spans="1:4" x14ac:dyDescent="0.2">
      <c r="A574" s="6" t="s">
        <v>2452</v>
      </c>
      <c r="B574" s="6" t="s">
        <v>1882</v>
      </c>
      <c r="C574" s="6" t="s">
        <v>2683</v>
      </c>
      <c r="D574" s="6" t="s">
        <v>2685</v>
      </c>
    </row>
    <row r="575" spans="1:4" x14ac:dyDescent="0.2">
      <c r="A575" s="6" t="s">
        <v>2453</v>
      </c>
      <c r="B575" s="6" t="s">
        <v>1880</v>
      </c>
      <c r="C575" s="6" t="s">
        <v>1917</v>
      </c>
      <c r="D575" s="6" t="s">
        <v>2679</v>
      </c>
    </row>
    <row r="576" spans="1:4" x14ac:dyDescent="0.2">
      <c r="A576" s="6" t="s">
        <v>2454</v>
      </c>
      <c r="B576" s="6" t="s">
        <v>1882</v>
      </c>
      <c r="C576" s="6" t="s">
        <v>1884</v>
      </c>
      <c r="D576" s="6" t="s">
        <v>2669</v>
      </c>
    </row>
    <row r="577" spans="1:4" x14ac:dyDescent="0.2">
      <c r="A577" s="6" t="s">
        <v>2455</v>
      </c>
      <c r="B577" s="6" t="s">
        <v>1895</v>
      </c>
      <c r="C577" s="6" t="s">
        <v>1475</v>
      </c>
      <c r="D577" s="6" t="s">
        <v>2675</v>
      </c>
    </row>
    <row r="578" spans="1:4" x14ac:dyDescent="0.2">
      <c r="A578" s="6" t="s">
        <v>2456</v>
      </c>
      <c r="B578" s="6" t="s">
        <v>1895</v>
      </c>
      <c r="C578" s="6" t="s">
        <v>1884</v>
      </c>
      <c r="D578" s="6" t="s">
        <v>2672</v>
      </c>
    </row>
    <row r="579" spans="1:4" x14ac:dyDescent="0.2">
      <c r="A579" s="6" t="s">
        <v>2457</v>
      </c>
      <c r="B579" s="6" t="s">
        <v>1880</v>
      </c>
      <c r="C579" s="6" t="s">
        <v>1475</v>
      </c>
      <c r="D579" s="6" t="s">
        <v>2675</v>
      </c>
    </row>
    <row r="580" spans="1:4" x14ac:dyDescent="0.2">
      <c r="A580" s="6" t="s">
        <v>2458</v>
      </c>
      <c r="B580" s="6" t="s">
        <v>1880</v>
      </c>
      <c r="C580" s="6" t="s">
        <v>1898</v>
      </c>
      <c r="D580" s="6" t="s">
        <v>2666</v>
      </c>
    </row>
    <row r="581" spans="1:4" x14ac:dyDescent="0.2">
      <c r="A581" s="6" t="s">
        <v>2459</v>
      </c>
      <c r="B581" s="6" t="s">
        <v>1895</v>
      </c>
      <c r="C581" s="6" t="s">
        <v>1475</v>
      </c>
      <c r="D581" s="6" t="s">
        <v>2668</v>
      </c>
    </row>
    <row r="582" spans="1:4" x14ac:dyDescent="0.2">
      <c r="A582" s="6" t="s">
        <v>2460</v>
      </c>
      <c r="B582" s="6" t="s">
        <v>1882</v>
      </c>
      <c r="C582" s="6" t="s">
        <v>1475</v>
      </c>
      <c r="D582" s="6" t="s">
        <v>2675</v>
      </c>
    </row>
    <row r="583" spans="1:4" x14ac:dyDescent="0.2">
      <c r="A583" s="6" t="s">
        <v>2461</v>
      </c>
      <c r="B583" s="6" t="s">
        <v>1880</v>
      </c>
      <c r="C583" s="6" t="s">
        <v>1475</v>
      </c>
      <c r="D583" s="6" t="s">
        <v>2675</v>
      </c>
    </row>
    <row r="584" spans="1:4" x14ac:dyDescent="0.2">
      <c r="A584" s="6" t="s">
        <v>2462</v>
      </c>
      <c r="B584" s="6" t="s">
        <v>1893</v>
      </c>
      <c r="C584" s="6" t="s">
        <v>1884</v>
      </c>
      <c r="D584" s="6" t="s">
        <v>2669</v>
      </c>
    </row>
    <row r="585" spans="1:4" x14ac:dyDescent="0.2">
      <c r="A585" s="6" t="s">
        <v>2463</v>
      </c>
      <c r="B585" s="6" t="s">
        <v>1882</v>
      </c>
      <c r="C585" s="6" t="s">
        <v>1898</v>
      </c>
      <c r="D585" s="6" t="s">
        <v>2671</v>
      </c>
    </row>
    <row r="586" spans="1:4" x14ac:dyDescent="0.2">
      <c r="A586" s="6" t="s">
        <v>2464</v>
      </c>
      <c r="B586" s="6" t="s">
        <v>1909</v>
      </c>
      <c r="C586" s="6" t="s">
        <v>1884</v>
      </c>
      <c r="D586" s="6" t="s">
        <v>2669</v>
      </c>
    </row>
    <row r="587" spans="1:4" x14ac:dyDescent="0.2">
      <c r="A587" s="6" t="s">
        <v>2465</v>
      </c>
      <c r="B587" s="6" t="s">
        <v>1895</v>
      </c>
      <c r="C587" s="6" t="s">
        <v>2683</v>
      </c>
      <c r="D587" s="6" t="s">
        <v>2684</v>
      </c>
    </row>
    <row r="588" spans="1:4" x14ac:dyDescent="0.2">
      <c r="A588" s="6" t="s">
        <v>2466</v>
      </c>
      <c r="B588" s="6" t="s">
        <v>1882</v>
      </c>
      <c r="C588" s="6" t="s">
        <v>2681</v>
      </c>
      <c r="D588" s="6" t="s">
        <v>2664</v>
      </c>
    </row>
    <row r="589" spans="1:4" x14ac:dyDescent="0.2">
      <c r="A589" s="6" t="s">
        <v>2467</v>
      </c>
      <c r="B589" s="6" t="s">
        <v>1882</v>
      </c>
      <c r="C589" s="6" t="s">
        <v>1884</v>
      </c>
      <c r="D589" s="6" t="s">
        <v>2676</v>
      </c>
    </row>
    <row r="590" spans="1:4" x14ac:dyDescent="0.2">
      <c r="A590" s="6" t="s">
        <v>2468</v>
      </c>
      <c r="B590" s="6" t="s">
        <v>1895</v>
      </c>
      <c r="C590" s="6" t="s">
        <v>1889</v>
      </c>
      <c r="D590" s="6" t="s">
        <v>2680</v>
      </c>
    </row>
    <row r="591" spans="1:4" x14ac:dyDescent="0.2">
      <c r="A591" s="6" t="s">
        <v>2469</v>
      </c>
      <c r="B591" s="6" t="s">
        <v>1882</v>
      </c>
      <c r="C591" s="6" t="s">
        <v>1884</v>
      </c>
      <c r="D591" s="6" t="s">
        <v>2673</v>
      </c>
    </row>
    <row r="592" spans="1:4" x14ac:dyDescent="0.2">
      <c r="A592" s="6" t="s">
        <v>2470</v>
      </c>
      <c r="B592" s="6" t="s">
        <v>1895</v>
      </c>
      <c r="C592" s="6" t="s">
        <v>1884</v>
      </c>
      <c r="D592" s="6" t="s">
        <v>2676</v>
      </c>
    </row>
    <row r="593" spans="1:4" x14ac:dyDescent="0.2">
      <c r="A593" s="6" t="s">
        <v>2471</v>
      </c>
      <c r="B593" s="6" t="s">
        <v>1882</v>
      </c>
      <c r="C593" s="6" t="s">
        <v>1886</v>
      </c>
      <c r="D593" s="6" t="s">
        <v>2674</v>
      </c>
    </row>
    <row r="594" spans="1:4" x14ac:dyDescent="0.2">
      <c r="A594" s="6" t="s">
        <v>2472</v>
      </c>
      <c r="B594" s="6" t="s">
        <v>1893</v>
      </c>
      <c r="C594" s="6" t="s">
        <v>1884</v>
      </c>
      <c r="D594" s="6" t="s">
        <v>2672</v>
      </c>
    </row>
    <row r="595" spans="1:4" x14ac:dyDescent="0.2">
      <c r="A595" s="6" t="s">
        <v>2473</v>
      </c>
      <c r="B595" s="6" t="s">
        <v>1880</v>
      </c>
      <c r="C595" s="6" t="s">
        <v>1884</v>
      </c>
      <c r="D595" s="6" t="s">
        <v>2673</v>
      </c>
    </row>
    <row r="596" spans="1:4" x14ac:dyDescent="0.2">
      <c r="A596" s="6" t="s">
        <v>2474</v>
      </c>
      <c r="B596" s="6" t="s">
        <v>1882</v>
      </c>
      <c r="C596" s="6" t="s">
        <v>1884</v>
      </c>
      <c r="D596" s="6" t="s">
        <v>2673</v>
      </c>
    </row>
    <row r="597" spans="1:4" x14ac:dyDescent="0.2">
      <c r="A597" s="6" t="s">
        <v>2475</v>
      </c>
      <c r="B597" s="6" t="s">
        <v>1882</v>
      </c>
      <c r="C597" s="6" t="s">
        <v>1886</v>
      </c>
      <c r="D597" s="6" t="s">
        <v>1887</v>
      </c>
    </row>
    <row r="598" spans="1:4" x14ac:dyDescent="0.2">
      <c r="A598" s="6" t="s">
        <v>2476</v>
      </c>
      <c r="B598" s="6" t="s">
        <v>1909</v>
      </c>
      <c r="C598" s="6" t="s">
        <v>1884</v>
      </c>
      <c r="D598" s="6" t="s">
        <v>2673</v>
      </c>
    </row>
    <row r="599" spans="1:4" x14ac:dyDescent="0.2">
      <c r="A599" s="6" t="s">
        <v>2477</v>
      </c>
      <c r="B599" s="6" t="s">
        <v>1882</v>
      </c>
      <c r="C599" s="6" t="s">
        <v>1898</v>
      </c>
      <c r="D599" s="6" t="s">
        <v>2671</v>
      </c>
    </row>
    <row r="600" spans="1:4" x14ac:dyDescent="0.2">
      <c r="A600" s="6" t="s">
        <v>2478</v>
      </c>
      <c r="B600" s="6" t="s">
        <v>1880</v>
      </c>
      <c r="C600" s="6" t="s">
        <v>2479</v>
      </c>
      <c r="D600" s="6" t="s">
        <v>2670</v>
      </c>
    </row>
    <row r="601" spans="1:4" x14ac:dyDescent="0.2">
      <c r="A601" s="6" t="s">
        <v>2480</v>
      </c>
      <c r="B601" s="6" t="s">
        <v>1895</v>
      </c>
      <c r="C601" s="6" t="s">
        <v>1884</v>
      </c>
      <c r="D601" s="6" t="s">
        <v>2676</v>
      </c>
    </row>
    <row r="602" spans="1:4" x14ac:dyDescent="0.2">
      <c r="A602" s="6" t="s">
        <v>2481</v>
      </c>
      <c r="B602" s="6" t="s">
        <v>1882</v>
      </c>
      <c r="C602" s="6" t="s">
        <v>1917</v>
      </c>
      <c r="D602" s="6" t="s">
        <v>2679</v>
      </c>
    </row>
    <row r="603" spans="1:4" x14ac:dyDescent="0.2">
      <c r="A603" s="6" t="s">
        <v>2482</v>
      </c>
      <c r="B603" s="6" t="s">
        <v>1882</v>
      </c>
      <c r="C603" s="6" t="s">
        <v>1886</v>
      </c>
      <c r="D603" s="6" t="s">
        <v>1941</v>
      </c>
    </row>
    <row r="604" spans="1:4" x14ac:dyDescent="0.2">
      <c r="A604" s="6" t="s">
        <v>2483</v>
      </c>
      <c r="B604" s="6" t="s">
        <v>1909</v>
      </c>
      <c r="C604" s="6" t="s">
        <v>1898</v>
      </c>
      <c r="D604" s="6" t="s">
        <v>2671</v>
      </c>
    </row>
    <row r="605" spans="1:4" x14ac:dyDescent="0.2">
      <c r="A605" s="6" t="s">
        <v>2484</v>
      </c>
      <c r="B605" s="6" t="s">
        <v>1880</v>
      </c>
      <c r="C605" s="6" t="s">
        <v>1475</v>
      </c>
      <c r="D605" s="6" t="s">
        <v>2675</v>
      </c>
    </row>
    <row r="606" spans="1:4" x14ac:dyDescent="0.2">
      <c r="A606" s="6" t="s">
        <v>2485</v>
      </c>
      <c r="B606" s="6" t="s">
        <v>1895</v>
      </c>
      <c r="C606" s="6" t="s">
        <v>1886</v>
      </c>
      <c r="D606" s="6" t="s">
        <v>2677</v>
      </c>
    </row>
    <row r="607" spans="1:4" x14ac:dyDescent="0.2">
      <c r="A607" s="6" t="s">
        <v>2486</v>
      </c>
      <c r="B607" s="6" t="s">
        <v>1909</v>
      </c>
      <c r="C607" s="6" t="s">
        <v>2681</v>
      </c>
      <c r="D607" s="6" t="s">
        <v>2682</v>
      </c>
    </row>
    <row r="608" spans="1:4" x14ac:dyDescent="0.2">
      <c r="A608" s="6" t="s">
        <v>2487</v>
      </c>
      <c r="B608" s="6" t="s">
        <v>1895</v>
      </c>
      <c r="C608" s="6" t="s">
        <v>1898</v>
      </c>
      <c r="D608" s="6" t="s">
        <v>2663</v>
      </c>
    </row>
    <row r="609" spans="1:4" x14ac:dyDescent="0.2">
      <c r="A609" s="6" t="s">
        <v>2488</v>
      </c>
      <c r="B609" s="6" t="s">
        <v>1882</v>
      </c>
      <c r="C609" s="6" t="s">
        <v>2681</v>
      </c>
      <c r="D609" s="6" t="s">
        <v>2667</v>
      </c>
    </row>
    <row r="610" spans="1:4" x14ac:dyDescent="0.2">
      <c r="A610" s="6" t="s">
        <v>2489</v>
      </c>
      <c r="B610" s="6" t="s">
        <v>1882</v>
      </c>
      <c r="C610" s="6" t="s">
        <v>1889</v>
      </c>
      <c r="D610" s="6" t="s">
        <v>2680</v>
      </c>
    </row>
    <row r="611" spans="1:4" x14ac:dyDescent="0.2">
      <c r="A611" s="6" t="s">
        <v>2490</v>
      </c>
      <c r="B611" s="6" t="s">
        <v>1882</v>
      </c>
      <c r="C611" s="6" t="s">
        <v>1886</v>
      </c>
      <c r="D611" s="6" t="s">
        <v>2677</v>
      </c>
    </row>
    <row r="612" spans="1:4" x14ac:dyDescent="0.2">
      <c r="A612" s="6" t="s">
        <v>2491</v>
      </c>
      <c r="B612" s="6" t="s">
        <v>1882</v>
      </c>
      <c r="C612" s="6" t="s">
        <v>1884</v>
      </c>
      <c r="D612" s="6" t="s">
        <v>2672</v>
      </c>
    </row>
    <row r="613" spans="1:4" x14ac:dyDescent="0.2">
      <c r="A613" s="6" t="s">
        <v>2492</v>
      </c>
      <c r="B613" s="6" t="s">
        <v>1895</v>
      </c>
      <c r="C613" s="6" t="s">
        <v>2681</v>
      </c>
      <c r="D613" s="6" t="s">
        <v>2682</v>
      </c>
    </row>
    <row r="614" spans="1:4" x14ac:dyDescent="0.2">
      <c r="A614" s="6" t="s">
        <v>2493</v>
      </c>
      <c r="B614" s="6" t="s">
        <v>1882</v>
      </c>
      <c r="C614" s="6" t="s">
        <v>1884</v>
      </c>
      <c r="D614" s="6" t="s">
        <v>2669</v>
      </c>
    </row>
    <row r="615" spans="1:4" x14ac:dyDescent="0.2">
      <c r="A615" s="6" t="s">
        <v>2494</v>
      </c>
      <c r="B615" s="6" t="s">
        <v>1882</v>
      </c>
      <c r="C615" s="6" t="s">
        <v>1898</v>
      </c>
      <c r="D615" s="6" t="s">
        <v>2671</v>
      </c>
    </row>
    <row r="616" spans="1:4" x14ac:dyDescent="0.2">
      <c r="A616" s="6" t="s">
        <v>2495</v>
      </c>
      <c r="B616" s="6" t="s">
        <v>1895</v>
      </c>
      <c r="C616" s="6" t="s">
        <v>2681</v>
      </c>
      <c r="D616" s="6" t="s">
        <v>2682</v>
      </c>
    </row>
    <row r="617" spans="1:4" x14ac:dyDescent="0.2">
      <c r="A617" s="6" t="s">
        <v>2496</v>
      </c>
      <c r="B617" s="6" t="s">
        <v>1882</v>
      </c>
      <c r="C617" s="6" t="s">
        <v>1898</v>
      </c>
      <c r="D617" s="6" t="s">
        <v>2666</v>
      </c>
    </row>
    <row r="618" spans="1:4" x14ac:dyDescent="0.2">
      <c r="A618" s="6" t="s">
        <v>2497</v>
      </c>
      <c r="B618" s="6" t="s">
        <v>1895</v>
      </c>
      <c r="C618" s="6" t="s">
        <v>2681</v>
      </c>
      <c r="D618" s="6" t="s">
        <v>2661</v>
      </c>
    </row>
    <row r="619" spans="1:4" x14ac:dyDescent="0.2">
      <c r="A619" s="6" t="s">
        <v>2498</v>
      </c>
      <c r="B619" s="6" t="s">
        <v>1882</v>
      </c>
      <c r="C619" s="6" t="s">
        <v>1884</v>
      </c>
      <c r="D619" s="6" t="s">
        <v>2676</v>
      </c>
    </row>
    <row r="620" spans="1:4" x14ac:dyDescent="0.2">
      <c r="A620" s="6" t="s">
        <v>2499</v>
      </c>
      <c r="B620" s="6" t="s">
        <v>1895</v>
      </c>
      <c r="C620" s="6" t="s">
        <v>1886</v>
      </c>
      <c r="D620" s="6" t="s">
        <v>2662</v>
      </c>
    </row>
    <row r="621" spans="1:4" x14ac:dyDescent="0.2">
      <c r="A621" s="6" t="s">
        <v>2500</v>
      </c>
      <c r="B621" s="6" t="s">
        <v>1880</v>
      </c>
      <c r="C621" s="6" t="s">
        <v>1884</v>
      </c>
      <c r="D621" s="6" t="s">
        <v>2676</v>
      </c>
    </row>
    <row r="622" spans="1:4" x14ac:dyDescent="0.2">
      <c r="A622" s="6" t="s">
        <v>2501</v>
      </c>
      <c r="B622" s="6" t="s">
        <v>1895</v>
      </c>
      <c r="C622" s="6" t="s">
        <v>1884</v>
      </c>
      <c r="D622" s="6" t="s">
        <v>2676</v>
      </c>
    </row>
    <row r="623" spans="1:4" x14ac:dyDescent="0.2">
      <c r="A623" s="6" t="s">
        <v>2502</v>
      </c>
      <c r="B623" s="6" t="s">
        <v>1880</v>
      </c>
      <c r="C623" s="6" t="s">
        <v>1475</v>
      </c>
      <c r="D623" s="6" t="s">
        <v>2675</v>
      </c>
    </row>
    <row r="624" spans="1:4" x14ac:dyDescent="0.2">
      <c r="A624" s="6" t="s">
        <v>2503</v>
      </c>
      <c r="B624" s="6" t="s">
        <v>1882</v>
      </c>
      <c r="C624" s="6" t="s">
        <v>1884</v>
      </c>
      <c r="D624" s="6" t="s">
        <v>2669</v>
      </c>
    </row>
    <row r="625" spans="1:4" x14ac:dyDescent="0.2">
      <c r="A625" s="6" t="s">
        <v>2504</v>
      </c>
      <c r="B625" s="6" t="s">
        <v>1882</v>
      </c>
      <c r="C625" s="6" t="s">
        <v>1884</v>
      </c>
      <c r="D625" s="6" t="s">
        <v>2676</v>
      </c>
    </row>
    <row r="626" spans="1:4" x14ac:dyDescent="0.2">
      <c r="A626" s="6" t="s">
        <v>2505</v>
      </c>
      <c r="B626" s="6" t="s">
        <v>1882</v>
      </c>
      <c r="C626" s="6" t="s">
        <v>1898</v>
      </c>
      <c r="D626" s="6" t="s">
        <v>2666</v>
      </c>
    </row>
    <row r="627" spans="1:4" x14ac:dyDescent="0.2">
      <c r="A627" s="6" t="s">
        <v>2506</v>
      </c>
      <c r="B627" s="6" t="s">
        <v>1880</v>
      </c>
      <c r="C627" s="6" t="s">
        <v>1475</v>
      </c>
      <c r="D627" s="6" t="s">
        <v>2668</v>
      </c>
    </row>
    <row r="628" spans="1:4" x14ac:dyDescent="0.2">
      <c r="A628" s="6" t="s">
        <v>2507</v>
      </c>
      <c r="B628" s="6" t="s">
        <v>1880</v>
      </c>
      <c r="C628" s="6" t="s">
        <v>2681</v>
      </c>
      <c r="D628" s="6" t="s">
        <v>2667</v>
      </c>
    </row>
    <row r="629" spans="1:4" x14ac:dyDescent="0.2">
      <c r="A629" s="6" t="s">
        <v>2508</v>
      </c>
      <c r="B629" s="6" t="s">
        <v>1895</v>
      </c>
      <c r="C629" s="6" t="s">
        <v>2681</v>
      </c>
      <c r="D629" s="6" t="s">
        <v>2667</v>
      </c>
    </row>
    <row r="630" spans="1:4" x14ac:dyDescent="0.2">
      <c r="A630" s="6" t="s">
        <v>2509</v>
      </c>
      <c r="B630" s="6" t="s">
        <v>1880</v>
      </c>
      <c r="C630" s="6" t="s">
        <v>1475</v>
      </c>
      <c r="D630" s="6" t="s">
        <v>2668</v>
      </c>
    </row>
    <row r="631" spans="1:4" x14ac:dyDescent="0.2">
      <c r="A631" s="6" t="s">
        <v>2510</v>
      </c>
      <c r="B631" s="6" t="s">
        <v>1895</v>
      </c>
      <c r="C631" s="6" t="s">
        <v>1917</v>
      </c>
      <c r="D631" s="6" t="s">
        <v>2679</v>
      </c>
    </row>
    <row r="632" spans="1:4" x14ac:dyDescent="0.2">
      <c r="A632" s="6" t="s">
        <v>2511</v>
      </c>
      <c r="B632" s="6" t="s">
        <v>1895</v>
      </c>
      <c r="C632" s="6" t="s">
        <v>1884</v>
      </c>
      <c r="D632" s="6" t="s">
        <v>2676</v>
      </c>
    </row>
    <row r="633" spans="1:4" x14ac:dyDescent="0.2">
      <c r="A633" s="6" t="s">
        <v>2512</v>
      </c>
      <c r="B633" s="6" t="s">
        <v>1895</v>
      </c>
      <c r="C633" s="6" t="s">
        <v>1898</v>
      </c>
      <c r="D633" s="6" t="s">
        <v>2671</v>
      </c>
    </row>
    <row r="634" spans="1:4" x14ac:dyDescent="0.2">
      <c r="A634" s="6" t="s">
        <v>2513</v>
      </c>
      <c r="B634" s="6" t="s">
        <v>1882</v>
      </c>
      <c r="C634" s="6" t="s">
        <v>1475</v>
      </c>
      <c r="D634" s="6" t="s">
        <v>2675</v>
      </c>
    </row>
    <row r="635" spans="1:4" x14ac:dyDescent="0.2">
      <c r="A635" s="6" t="s">
        <v>2514</v>
      </c>
      <c r="B635" s="6" t="s">
        <v>1880</v>
      </c>
      <c r="C635" s="6" t="s">
        <v>1475</v>
      </c>
      <c r="D635" s="6" t="s">
        <v>2668</v>
      </c>
    </row>
    <row r="636" spans="1:4" x14ac:dyDescent="0.2">
      <c r="A636" s="6" t="s">
        <v>2515</v>
      </c>
      <c r="B636" s="6" t="s">
        <v>1880</v>
      </c>
      <c r="C636" s="6" t="s">
        <v>1884</v>
      </c>
      <c r="D636" s="6" t="s">
        <v>2686</v>
      </c>
    </row>
    <row r="637" spans="1:4" x14ac:dyDescent="0.2">
      <c r="A637" s="6" t="s">
        <v>2516</v>
      </c>
      <c r="B637" s="6" t="s">
        <v>1893</v>
      </c>
      <c r="C637" s="6" t="s">
        <v>1886</v>
      </c>
      <c r="D637" s="6" t="s">
        <v>2674</v>
      </c>
    </row>
    <row r="638" spans="1:4" x14ac:dyDescent="0.2">
      <c r="A638" s="6" t="s">
        <v>2517</v>
      </c>
      <c r="B638" s="6" t="s">
        <v>1882</v>
      </c>
      <c r="C638" s="6" t="s">
        <v>1917</v>
      </c>
      <c r="D638" s="6" t="s">
        <v>1923</v>
      </c>
    </row>
    <row r="639" spans="1:4" x14ac:dyDescent="0.2">
      <c r="A639" s="6" t="s">
        <v>2518</v>
      </c>
      <c r="B639" s="6" t="s">
        <v>1882</v>
      </c>
      <c r="C639" s="6" t="s">
        <v>1917</v>
      </c>
      <c r="D639" s="6" t="s">
        <v>2679</v>
      </c>
    </row>
    <row r="640" spans="1:4" x14ac:dyDescent="0.2">
      <c r="A640" s="6" t="s">
        <v>2519</v>
      </c>
      <c r="B640" s="6" t="s">
        <v>1882</v>
      </c>
      <c r="C640" s="6" t="s">
        <v>1917</v>
      </c>
      <c r="D640" s="6" t="s">
        <v>1923</v>
      </c>
    </row>
    <row r="641" spans="1:4" x14ac:dyDescent="0.2">
      <c r="A641" s="6" t="s">
        <v>2520</v>
      </c>
      <c r="B641" s="6" t="s">
        <v>1895</v>
      </c>
      <c r="C641" s="6" t="s">
        <v>1886</v>
      </c>
      <c r="D641" s="6" t="s">
        <v>2674</v>
      </c>
    </row>
    <row r="642" spans="1:4" x14ac:dyDescent="0.2">
      <c r="A642" s="6" t="s">
        <v>2521</v>
      </c>
      <c r="B642" s="6" t="s">
        <v>1882</v>
      </c>
      <c r="C642" s="6" t="s">
        <v>1886</v>
      </c>
      <c r="D642" s="6" t="s">
        <v>1941</v>
      </c>
    </row>
    <row r="643" spans="1:4" x14ac:dyDescent="0.2">
      <c r="A643" s="6" t="s">
        <v>2522</v>
      </c>
      <c r="B643" s="6" t="s">
        <v>1880</v>
      </c>
      <c r="C643" s="6" t="s">
        <v>1884</v>
      </c>
      <c r="D643" s="6" t="s">
        <v>2669</v>
      </c>
    </row>
    <row r="644" spans="1:4" x14ac:dyDescent="0.2">
      <c r="A644" s="6" t="s">
        <v>2523</v>
      </c>
      <c r="B644" s="6" t="s">
        <v>1882</v>
      </c>
      <c r="C644" s="6" t="s">
        <v>1884</v>
      </c>
      <c r="D644" s="6" t="s">
        <v>2669</v>
      </c>
    </row>
    <row r="645" spans="1:4" x14ac:dyDescent="0.2">
      <c r="A645" s="6" t="s">
        <v>2524</v>
      </c>
      <c r="B645" s="6" t="s">
        <v>1895</v>
      </c>
      <c r="C645" s="6" t="s">
        <v>1898</v>
      </c>
      <c r="D645" s="6" t="s">
        <v>2671</v>
      </c>
    </row>
    <row r="646" spans="1:4" x14ac:dyDescent="0.2">
      <c r="A646" s="6" t="s">
        <v>2525</v>
      </c>
      <c r="B646" s="6" t="s">
        <v>1882</v>
      </c>
      <c r="C646" s="6" t="s">
        <v>1917</v>
      </c>
      <c r="D646" s="6" t="s">
        <v>2679</v>
      </c>
    </row>
    <row r="647" spans="1:4" x14ac:dyDescent="0.2">
      <c r="A647" s="6" t="s">
        <v>2526</v>
      </c>
      <c r="B647" s="6" t="s">
        <v>1882</v>
      </c>
      <c r="C647" s="6" t="s">
        <v>1889</v>
      </c>
      <c r="D647" s="6" t="s">
        <v>2687</v>
      </c>
    </row>
    <row r="648" spans="1:4" x14ac:dyDescent="0.2">
      <c r="A648" s="6" t="s">
        <v>2527</v>
      </c>
      <c r="B648" s="6" t="s">
        <v>1880</v>
      </c>
      <c r="C648" s="6" t="s">
        <v>2683</v>
      </c>
      <c r="D648" s="6" t="s">
        <v>2684</v>
      </c>
    </row>
    <row r="649" spans="1:4" x14ac:dyDescent="0.2">
      <c r="A649" s="6" t="s">
        <v>2528</v>
      </c>
      <c r="B649" s="6" t="s">
        <v>1882</v>
      </c>
      <c r="C649" s="6" t="s">
        <v>1475</v>
      </c>
      <c r="D649" s="6" t="s">
        <v>2668</v>
      </c>
    </row>
    <row r="650" spans="1:4" x14ac:dyDescent="0.2">
      <c r="A650" s="6" t="s">
        <v>2529</v>
      </c>
      <c r="B650" s="6" t="s">
        <v>1882</v>
      </c>
      <c r="C650" s="6" t="s">
        <v>1898</v>
      </c>
      <c r="D650" s="6" t="s">
        <v>2671</v>
      </c>
    </row>
    <row r="651" spans="1:4" x14ac:dyDescent="0.2">
      <c r="A651" s="6" t="s">
        <v>2530</v>
      </c>
      <c r="B651" s="6" t="s">
        <v>1895</v>
      </c>
      <c r="C651" s="6" t="s">
        <v>1884</v>
      </c>
      <c r="D651" s="6" t="s">
        <v>2676</v>
      </c>
    </row>
    <row r="652" spans="1:4" x14ac:dyDescent="0.2">
      <c r="A652" s="6" t="s">
        <v>2531</v>
      </c>
      <c r="B652" s="6" t="s">
        <v>1893</v>
      </c>
      <c r="C652" s="6" t="s">
        <v>1884</v>
      </c>
      <c r="D652" s="6" t="s">
        <v>2676</v>
      </c>
    </row>
    <row r="653" spans="1:4" x14ac:dyDescent="0.2">
      <c r="A653" s="6" t="s">
        <v>2532</v>
      </c>
      <c r="B653" s="6" t="s">
        <v>1882</v>
      </c>
      <c r="C653" s="6" t="s">
        <v>1884</v>
      </c>
      <c r="D653" s="6" t="s">
        <v>2672</v>
      </c>
    </row>
    <row r="654" spans="1:4" x14ac:dyDescent="0.2">
      <c r="A654" s="6" t="s">
        <v>2533</v>
      </c>
      <c r="B654" s="6" t="s">
        <v>1882</v>
      </c>
      <c r="C654" s="6" t="s">
        <v>1889</v>
      </c>
      <c r="D654" s="6" t="s">
        <v>1927</v>
      </c>
    </row>
    <row r="655" spans="1:4" x14ac:dyDescent="0.2">
      <c r="A655" s="6" t="s">
        <v>2534</v>
      </c>
      <c r="B655" s="6" t="s">
        <v>1882</v>
      </c>
      <c r="C655" s="6" t="s">
        <v>1917</v>
      </c>
      <c r="D655" s="6" t="s">
        <v>2679</v>
      </c>
    </row>
    <row r="656" spans="1:4" x14ac:dyDescent="0.2">
      <c r="A656" s="6" t="s">
        <v>2535</v>
      </c>
      <c r="B656" s="6" t="s">
        <v>1895</v>
      </c>
      <c r="C656" s="6" t="s">
        <v>1884</v>
      </c>
      <c r="D656" s="6" t="s">
        <v>2676</v>
      </c>
    </row>
    <row r="657" spans="1:4" x14ac:dyDescent="0.2">
      <c r="A657" s="6" t="s">
        <v>2536</v>
      </c>
      <c r="B657" s="6" t="s">
        <v>1882</v>
      </c>
      <c r="C657" s="6" t="s">
        <v>1884</v>
      </c>
      <c r="D657" s="6" t="s">
        <v>2673</v>
      </c>
    </row>
    <row r="658" spans="1:4" x14ac:dyDescent="0.2">
      <c r="A658" s="6" t="s">
        <v>2537</v>
      </c>
      <c r="B658" s="6" t="s">
        <v>1882</v>
      </c>
      <c r="C658" s="6" t="s">
        <v>1917</v>
      </c>
      <c r="D658" s="6" t="s">
        <v>2679</v>
      </c>
    </row>
    <row r="659" spans="1:4" x14ac:dyDescent="0.2">
      <c r="A659" s="6" t="s">
        <v>2538</v>
      </c>
      <c r="B659" s="6" t="s">
        <v>1880</v>
      </c>
      <c r="C659" s="6" t="s">
        <v>1886</v>
      </c>
      <c r="D659" s="6" t="s">
        <v>1941</v>
      </c>
    </row>
    <row r="660" spans="1:4" x14ac:dyDescent="0.2">
      <c r="A660" s="6" t="s">
        <v>2539</v>
      </c>
      <c r="B660" s="6" t="s">
        <v>1882</v>
      </c>
      <c r="C660" s="6" t="s">
        <v>1884</v>
      </c>
      <c r="D660" s="6" t="s">
        <v>2673</v>
      </c>
    </row>
    <row r="661" spans="1:4" x14ac:dyDescent="0.2">
      <c r="A661" s="6" t="s">
        <v>2540</v>
      </c>
      <c r="B661" s="6" t="s">
        <v>1882</v>
      </c>
      <c r="C661" s="6" t="s">
        <v>2683</v>
      </c>
      <c r="D661" s="6" t="s">
        <v>2684</v>
      </c>
    </row>
    <row r="662" spans="1:4" x14ac:dyDescent="0.2">
      <c r="A662" s="6" t="s">
        <v>2541</v>
      </c>
      <c r="B662" s="6" t="s">
        <v>1895</v>
      </c>
      <c r="C662" s="6" t="s">
        <v>1886</v>
      </c>
      <c r="D662" s="6" t="s">
        <v>2674</v>
      </c>
    </row>
    <row r="663" spans="1:4" x14ac:dyDescent="0.2">
      <c r="A663" s="6" t="s">
        <v>1865</v>
      </c>
      <c r="B663" s="6" t="s">
        <v>1909</v>
      </c>
      <c r="C663" s="6" t="s">
        <v>1475</v>
      </c>
      <c r="D663" s="6" t="s">
        <v>2675</v>
      </c>
    </row>
    <row r="664" spans="1:4" x14ac:dyDescent="0.2">
      <c r="A664" s="6" t="s">
        <v>2542</v>
      </c>
      <c r="B664" s="6" t="s">
        <v>1880</v>
      </c>
      <c r="C664" s="6" t="s">
        <v>1884</v>
      </c>
      <c r="D664" s="6" t="s">
        <v>2673</v>
      </c>
    </row>
    <row r="665" spans="1:4" x14ac:dyDescent="0.2">
      <c r="A665" s="6" t="s">
        <v>2543</v>
      </c>
      <c r="B665" s="6" t="s">
        <v>1880</v>
      </c>
      <c r="C665" s="6" t="s">
        <v>1884</v>
      </c>
      <c r="D665" s="6" t="s">
        <v>2686</v>
      </c>
    </row>
    <row r="666" spans="1:4" x14ac:dyDescent="0.2">
      <c r="A666" s="6" t="s">
        <v>2544</v>
      </c>
      <c r="B666" s="6" t="s">
        <v>1880</v>
      </c>
      <c r="C666" s="6" t="s">
        <v>1884</v>
      </c>
      <c r="D666" s="6" t="s">
        <v>2673</v>
      </c>
    </row>
    <row r="667" spans="1:4" x14ac:dyDescent="0.2">
      <c r="A667" s="6" t="s">
        <v>2545</v>
      </c>
      <c r="B667" s="6" t="s">
        <v>1880</v>
      </c>
      <c r="C667" s="6" t="s">
        <v>1917</v>
      </c>
      <c r="D667" s="6" t="s">
        <v>1923</v>
      </c>
    </row>
    <row r="668" spans="1:4" x14ac:dyDescent="0.2">
      <c r="A668" s="6" t="s">
        <v>2546</v>
      </c>
      <c r="B668" s="6" t="s">
        <v>1882</v>
      </c>
      <c r="C668" s="6" t="s">
        <v>2681</v>
      </c>
      <c r="D668" s="6" t="s">
        <v>2660</v>
      </c>
    </row>
    <row r="669" spans="1:4" x14ac:dyDescent="0.2">
      <c r="A669" s="6" t="s">
        <v>2547</v>
      </c>
      <c r="B669" s="6" t="s">
        <v>1895</v>
      </c>
      <c r="C669" s="6" t="s">
        <v>2681</v>
      </c>
      <c r="D669" s="6" t="s">
        <v>2667</v>
      </c>
    </row>
    <row r="670" spans="1:4" x14ac:dyDescent="0.2">
      <c r="A670" s="6" t="s">
        <v>2548</v>
      </c>
      <c r="B670" s="6" t="s">
        <v>1880</v>
      </c>
      <c r="C670" s="6" t="s">
        <v>1886</v>
      </c>
      <c r="D670" s="6" t="s">
        <v>1887</v>
      </c>
    </row>
    <row r="671" spans="1:4" x14ac:dyDescent="0.2">
      <c r="A671" s="6" t="s">
        <v>2549</v>
      </c>
      <c r="B671" s="6" t="s">
        <v>1895</v>
      </c>
      <c r="C671" s="6" t="s">
        <v>1898</v>
      </c>
      <c r="D671" s="6" t="s">
        <v>2663</v>
      </c>
    </row>
    <row r="672" spans="1:4" x14ac:dyDescent="0.2">
      <c r="A672" s="6" t="s">
        <v>2550</v>
      </c>
      <c r="B672" s="6" t="s">
        <v>1909</v>
      </c>
      <c r="C672" s="6" t="s">
        <v>1884</v>
      </c>
      <c r="D672" s="6" t="s">
        <v>2669</v>
      </c>
    </row>
    <row r="673" spans="1:4" x14ac:dyDescent="0.2">
      <c r="A673" s="6" t="s">
        <v>2551</v>
      </c>
      <c r="B673" s="6" t="s">
        <v>1882</v>
      </c>
      <c r="C673" s="6" t="s">
        <v>2681</v>
      </c>
      <c r="D673" s="6" t="s">
        <v>2660</v>
      </c>
    </row>
    <row r="674" spans="1:4" x14ac:dyDescent="0.2">
      <c r="A674" s="6" t="s">
        <v>2552</v>
      </c>
      <c r="B674" s="6" t="s">
        <v>1880</v>
      </c>
      <c r="C674" s="6" t="s">
        <v>1898</v>
      </c>
      <c r="D674" s="6" t="s">
        <v>2671</v>
      </c>
    </row>
    <row r="675" spans="1:4" x14ac:dyDescent="0.2">
      <c r="A675" s="6" t="s">
        <v>2553</v>
      </c>
      <c r="B675" s="6" t="s">
        <v>1895</v>
      </c>
      <c r="C675" s="6" t="s">
        <v>1884</v>
      </c>
      <c r="D675" s="6" t="s">
        <v>2676</v>
      </c>
    </row>
    <row r="676" spans="1:4" x14ac:dyDescent="0.2">
      <c r="A676" s="6" t="s">
        <v>2554</v>
      </c>
      <c r="B676" s="6" t="s">
        <v>1895</v>
      </c>
      <c r="C676" s="6" t="s">
        <v>1898</v>
      </c>
      <c r="D676" s="6" t="s">
        <v>2666</v>
      </c>
    </row>
    <row r="677" spans="1:4" x14ac:dyDescent="0.2">
      <c r="A677" s="6" t="s">
        <v>2555</v>
      </c>
      <c r="B677" s="6" t="s">
        <v>1882</v>
      </c>
      <c r="C677" s="6" t="s">
        <v>1884</v>
      </c>
      <c r="D677" s="6" t="s">
        <v>2669</v>
      </c>
    </row>
    <row r="678" spans="1:4" x14ac:dyDescent="0.2">
      <c r="A678" s="6" t="s">
        <v>1868</v>
      </c>
      <c r="B678" s="6" t="s">
        <v>1882</v>
      </c>
      <c r="C678" s="6" t="s">
        <v>1475</v>
      </c>
      <c r="D678" s="6" t="s">
        <v>2675</v>
      </c>
    </row>
    <row r="679" spans="1:4" x14ac:dyDescent="0.2">
      <c r="A679" s="6" t="s">
        <v>2556</v>
      </c>
      <c r="B679" s="6" t="s">
        <v>1880</v>
      </c>
      <c r="C679" s="6" t="s">
        <v>1917</v>
      </c>
      <c r="D679" s="6" t="s">
        <v>2679</v>
      </c>
    </row>
    <row r="680" spans="1:4" x14ac:dyDescent="0.2">
      <c r="A680" s="6" t="s">
        <v>2557</v>
      </c>
      <c r="B680" s="6" t="s">
        <v>1880</v>
      </c>
      <c r="C680" s="6" t="s">
        <v>1889</v>
      </c>
      <c r="D680" s="6" t="s">
        <v>2687</v>
      </c>
    </row>
    <row r="681" spans="1:4" x14ac:dyDescent="0.2">
      <c r="A681" s="6" t="s">
        <v>2558</v>
      </c>
      <c r="B681" s="6" t="s">
        <v>1895</v>
      </c>
      <c r="C681" s="6" t="s">
        <v>1898</v>
      </c>
      <c r="D681" s="6" t="s">
        <v>2671</v>
      </c>
    </row>
    <row r="682" spans="1:4" x14ac:dyDescent="0.2">
      <c r="A682" s="6" t="s">
        <v>2559</v>
      </c>
      <c r="B682" s="6" t="s">
        <v>1895</v>
      </c>
      <c r="C682" s="6" t="s">
        <v>1884</v>
      </c>
      <c r="D682" s="6" t="s">
        <v>2686</v>
      </c>
    </row>
    <row r="683" spans="1:4" x14ac:dyDescent="0.2">
      <c r="A683" s="6" t="s">
        <v>2560</v>
      </c>
      <c r="B683" s="6" t="s">
        <v>1882</v>
      </c>
      <c r="C683" s="6" t="s">
        <v>1917</v>
      </c>
      <c r="D683" s="6" t="s">
        <v>2679</v>
      </c>
    </row>
    <row r="684" spans="1:4" x14ac:dyDescent="0.2">
      <c r="A684" s="6" t="s">
        <v>2561</v>
      </c>
      <c r="B684" s="6" t="s">
        <v>1880</v>
      </c>
      <c r="C684" s="6" t="s">
        <v>2681</v>
      </c>
      <c r="D684" s="6" t="s">
        <v>2664</v>
      </c>
    </row>
    <row r="685" spans="1:4" x14ac:dyDescent="0.2">
      <c r="A685" s="6" t="s">
        <v>2562</v>
      </c>
      <c r="B685" s="6" t="s">
        <v>1882</v>
      </c>
      <c r="C685" s="6" t="s">
        <v>1889</v>
      </c>
      <c r="D685" s="6" t="s">
        <v>1927</v>
      </c>
    </row>
    <row r="686" spans="1:4" x14ac:dyDescent="0.2">
      <c r="A686" s="6" t="s">
        <v>2563</v>
      </c>
      <c r="B686" s="6" t="s">
        <v>1880</v>
      </c>
      <c r="C686" s="6" t="s">
        <v>1475</v>
      </c>
      <c r="D686" s="6" t="s">
        <v>2675</v>
      </c>
    </row>
    <row r="687" spans="1:4" x14ac:dyDescent="0.2">
      <c r="A687" s="6" t="s">
        <v>2564</v>
      </c>
      <c r="B687" s="6" t="s">
        <v>1882</v>
      </c>
      <c r="C687" s="6" t="s">
        <v>1884</v>
      </c>
      <c r="D687" s="6" t="s">
        <v>2673</v>
      </c>
    </row>
    <row r="688" spans="1:4" x14ac:dyDescent="0.2">
      <c r="A688" s="6" t="s">
        <v>2565</v>
      </c>
      <c r="B688" s="6" t="s">
        <v>1895</v>
      </c>
      <c r="C688" s="6" t="s">
        <v>1475</v>
      </c>
      <c r="D688" s="6" t="s">
        <v>2668</v>
      </c>
    </row>
    <row r="689" spans="1:4" x14ac:dyDescent="0.2">
      <c r="A689" s="6" t="s">
        <v>2566</v>
      </c>
      <c r="B689" s="6" t="s">
        <v>1880</v>
      </c>
      <c r="C689" s="6" t="s">
        <v>1898</v>
      </c>
      <c r="D689" s="6" t="s">
        <v>2671</v>
      </c>
    </row>
    <row r="690" spans="1:4" x14ac:dyDescent="0.2">
      <c r="A690" s="6" t="s">
        <v>2567</v>
      </c>
      <c r="B690" s="6" t="s">
        <v>1895</v>
      </c>
      <c r="C690" s="6" t="s">
        <v>1898</v>
      </c>
      <c r="D690" s="6" t="s">
        <v>2671</v>
      </c>
    </row>
    <row r="691" spans="1:4" x14ac:dyDescent="0.2">
      <c r="A691" s="6" t="s">
        <v>2568</v>
      </c>
      <c r="B691" s="6" t="s">
        <v>1895</v>
      </c>
      <c r="C691" s="6" t="s">
        <v>1475</v>
      </c>
      <c r="D691" s="6" t="s">
        <v>2675</v>
      </c>
    </row>
    <row r="692" spans="1:4" x14ac:dyDescent="0.2">
      <c r="A692" s="6" t="s">
        <v>2569</v>
      </c>
      <c r="B692" s="6" t="s">
        <v>1880</v>
      </c>
      <c r="C692" s="6" t="s">
        <v>2683</v>
      </c>
      <c r="D692" s="6" t="s">
        <v>2684</v>
      </c>
    </row>
    <row r="693" spans="1:4" x14ac:dyDescent="0.2">
      <c r="A693" s="6" t="s">
        <v>2570</v>
      </c>
      <c r="B693" s="6" t="s">
        <v>1882</v>
      </c>
      <c r="C693" s="6" t="s">
        <v>2681</v>
      </c>
      <c r="D693" s="6" t="s">
        <v>2682</v>
      </c>
    </row>
    <row r="694" spans="1:4" x14ac:dyDescent="0.2">
      <c r="A694" s="6" t="s">
        <v>2571</v>
      </c>
      <c r="B694" s="6" t="s">
        <v>1880</v>
      </c>
      <c r="C694" s="6" t="s">
        <v>1884</v>
      </c>
      <c r="D694" s="6" t="s">
        <v>2673</v>
      </c>
    </row>
    <row r="695" spans="1:4" x14ac:dyDescent="0.2">
      <c r="A695" s="6" t="s">
        <v>2572</v>
      </c>
      <c r="B695" s="6" t="s">
        <v>1895</v>
      </c>
      <c r="C695" s="6" t="s">
        <v>2683</v>
      </c>
      <c r="D695" s="6" t="s">
        <v>2685</v>
      </c>
    </row>
    <row r="696" spans="1:4" x14ac:dyDescent="0.2">
      <c r="A696" s="6" t="s">
        <v>2573</v>
      </c>
      <c r="B696" s="6" t="s">
        <v>1882</v>
      </c>
      <c r="C696" s="6" t="s">
        <v>1475</v>
      </c>
      <c r="D696" s="6" t="s">
        <v>2675</v>
      </c>
    </row>
    <row r="697" spans="1:4" x14ac:dyDescent="0.2">
      <c r="A697" s="6" t="s">
        <v>2574</v>
      </c>
      <c r="B697" s="6" t="s">
        <v>1895</v>
      </c>
      <c r="C697" s="6" t="s">
        <v>1898</v>
      </c>
      <c r="D697" s="6" t="s">
        <v>2663</v>
      </c>
    </row>
    <row r="698" spans="1:4" x14ac:dyDescent="0.2">
      <c r="A698" s="6" t="s">
        <v>2575</v>
      </c>
      <c r="B698" s="6" t="s">
        <v>1895</v>
      </c>
      <c r="C698" s="6" t="s">
        <v>1917</v>
      </c>
      <c r="D698" s="6" t="s">
        <v>2679</v>
      </c>
    </row>
    <row r="699" spans="1:4" x14ac:dyDescent="0.2">
      <c r="A699" s="6" t="s">
        <v>2576</v>
      </c>
      <c r="B699" s="6" t="s">
        <v>1882</v>
      </c>
      <c r="C699" s="6" t="s">
        <v>1917</v>
      </c>
      <c r="D699" s="6" t="s">
        <v>1923</v>
      </c>
    </row>
    <row r="700" spans="1:4" x14ac:dyDescent="0.2">
      <c r="A700" s="6" t="s">
        <v>2577</v>
      </c>
      <c r="B700" s="6" t="s">
        <v>1882</v>
      </c>
      <c r="C700" s="6" t="s">
        <v>1475</v>
      </c>
      <c r="D700" s="6" t="s">
        <v>2675</v>
      </c>
    </row>
    <row r="701" spans="1:4" x14ac:dyDescent="0.2">
      <c r="A701" s="6" t="s">
        <v>2578</v>
      </c>
      <c r="B701" s="6" t="s">
        <v>1882</v>
      </c>
      <c r="C701" s="6" t="s">
        <v>1917</v>
      </c>
      <c r="D701" s="6" t="s">
        <v>1923</v>
      </c>
    </row>
    <row r="702" spans="1:4" x14ac:dyDescent="0.2">
      <c r="A702" s="6" t="s">
        <v>2579</v>
      </c>
      <c r="B702" s="6" t="s">
        <v>1895</v>
      </c>
      <c r="C702" s="6" t="s">
        <v>1898</v>
      </c>
      <c r="D702" s="6" t="s">
        <v>2671</v>
      </c>
    </row>
    <row r="703" spans="1:4" x14ac:dyDescent="0.2">
      <c r="A703" s="6" t="s">
        <v>2580</v>
      </c>
      <c r="B703" s="6" t="s">
        <v>1895</v>
      </c>
      <c r="C703" s="6" t="s">
        <v>1475</v>
      </c>
      <c r="D703" s="6" t="s">
        <v>2668</v>
      </c>
    </row>
    <row r="704" spans="1:4" x14ac:dyDescent="0.2">
      <c r="A704" s="6" t="s">
        <v>2581</v>
      </c>
      <c r="B704" s="6" t="s">
        <v>1882</v>
      </c>
      <c r="C704" s="6" t="s">
        <v>1475</v>
      </c>
      <c r="D704" s="6" t="s">
        <v>2668</v>
      </c>
    </row>
    <row r="705" spans="1:4" x14ac:dyDescent="0.2">
      <c r="A705" s="6" t="s">
        <v>2582</v>
      </c>
      <c r="B705" s="6" t="s">
        <v>1895</v>
      </c>
      <c r="C705" s="6" t="s">
        <v>1917</v>
      </c>
      <c r="D705" s="6" t="s">
        <v>2679</v>
      </c>
    </row>
    <row r="706" spans="1:4" x14ac:dyDescent="0.2">
      <c r="A706" s="6" t="s">
        <v>2583</v>
      </c>
      <c r="B706" s="6" t="s">
        <v>1895</v>
      </c>
      <c r="C706" s="6" t="s">
        <v>2681</v>
      </c>
      <c r="D706" s="6" t="s">
        <v>2682</v>
      </c>
    </row>
    <row r="707" spans="1:4" x14ac:dyDescent="0.2">
      <c r="A707" s="6" t="s">
        <v>2584</v>
      </c>
      <c r="B707" s="6" t="s">
        <v>1882</v>
      </c>
      <c r="C707" s="6" t="s">
        <v>1889</v>
      </c>
      <c r="D707" s="6" t="s">
        <v>2687</v>
      </c>
    </row>
    <row r="708" spans="1:4" x14ac:dyDescent="0.2">
      <c r="A708" s="6" t="s">
        <v>2585</v>
      </c>
      <c r="B708" s="6" t="s">
        <v>1882</v>
      </c>
      <c r="C708" s="6" t="s">
        <v>1884</v>
      </c>
      <c r="D708" s="6" t="s">
        <v>2669</v>
      </c>
    </row>
    <row r="709" spans="1:4" x14ac:dyDescent="0.2">
      <c r="A709" s="6" t="s">
        <v>2586</v>
      </c>
      <c r="B709" s="6" t="s">
        <v>1895</v>
      </c>
      <c r="C709" s="6" t="s">
        <v>1917</v>
      </c>
      <c r="D709" s="6" t="s">
        <v>1923</v>
      </c>
    </row>
    <row r="710" spans="1:4" x14ac:dyDescent="0.2">
      <c r="A710" s="6" t="s">
        <v>2587</v>
      </c>
      <c r="B710" s="6" t="s">
        <v>1880</v>
      </c>
      <c r="C710" s="6" t="s">
        <v>2681</v>
      </c>
      <c r="D710" s="6" t="s">
        <v>2682</v>
      </c>
    </row>
    <row r="711" spans="1:4" x14ac:dyDescent="0.2">
      <c r="A711" s="6" t="s">
        <v>2588</v>
      </c>
      <c r="B711" s="6" t="s">
        <v>1882</v>
      </c>
      <c r="C711" s="6" t="s">
        <v>1884</v>
      </c>
      <c r="D711" s="6" t="s">
        <v>2686</v>
      </c>
    </row>
    <row r="712" spans="1:4" x14ac:dyDescent="0.2">
      <c r="A712" s="6" t="s">
        <v>2589</v>
      </c>
      <c r="B712" s="6" t="s">
        <v>1880</v>
      </c>
      <c r="C712" s="6" t="s">
        <v>1898</v>
      </c>
      <c r="D712" s="6" t="s">
        <v>2663</v>
      </c>
    </row>
    <row r="713" spans="1:4" x14ac:dyDescent="0.2">
      <c r="A713" s="6" t="s">
        <v>2590</v>
      </c>
      <c r="B713" s="6" t="s">
        <v>1882</v>
      </c>
      <c r="C713" s="6" t="s">
        <v>2681</v>
      </c>
      <c r="D713" s="6" t="s">
        <v>2664</v>
      </c>
    </row>
    <row r="714" spans="1:4" x14ac:dyDescent="0.2">
      <c r="A714" s="6" t="s">
        <v>2591</v>
      </c>
      <c r="B714" s="6" t="s">
        <v>1882</v>
      </c>
      <c r="C714" s="6" t="s">
        <v>2206</v>
      </c>
      <c r="D714" s="6" t="s">
        <v>2207</v>
      </c>
    </row>
    <row r="715" spans="1:4" x14ac:dyDescent="0.2">
      <c r="A715" s="6" t="s">
        <v>2592</v>
      </c>
      <c r="B715" s="6" t="s">
        <v>1880</v>
      </c>
      <c r="C715" s="6" t="s">
        <v>1475</v>
      </c>
      <c r="D715" s="6" t="s">
        <v>2675</v>
      </c>
    </row>
    <row r="716" spans="1:4" x14ac:dyDescent="0.2">
      <c r="A716" s="6" t="s">
        <v>2593</v>
      </c>
      <c r="B716" s="6" t="s">
        <v>1882</v>
      </c>
      <c r="C716" s="6" t="s">
        <v>1898</v>
      </c>
      <c r="D716" s="6" t="s">
        <v>2666</v>
      </c>
    </row>
    <row r="717" spans="1:4" x14ac:dyDescent="0.2">
      <c r="A717" s="6" t="s">
        <v>2594</v>
      </c>
      <c r="B717" s="6" t="s">
        <v>1895</v>
      </c>
      <c r="C717" s="6" t="s">
        <v>1898</v>
      </c>
      <c r="D717" s="6" t="s">
        <v>2663</v>
      </c>
    </row>
    <row r="718" spans="1:4" x14ac:dyDescent="0.2">
      <c r="A718" s="6" t="s">
        <v>2595</v>
      </c>
      <c r="B718" s="6" t="s">
        <v>1880</v>
      </c>
      <c r="C718" s="6" t="s">
        <v>1898</v>
      </c>
      <c r="D718" s="6" t="s">
        <v>2663</v>
      </c>
    </row>
    <row r="719" spans="1:4" x14ac:dyDescent="0.2">
      <c r="A719" s="6" t="s">
        <v>2596</v>
      </c>
      <c r="B719" s="6" t="s">
        <v>1882</v>
      </c>
      <c r="C719" s="6" t="s">
        <v>2683</v>
      </c>
      <c r="D719" s="6" t="s">
        <v>2684</v>
      </c>
    </row>
    <row r="720" spans="1:4" x14ac:dyDescent="0.2">
      <c r="A720" s="6" t="s">
        <v>2597</v>
      </c>
      <c r="B720" s="6" t="s">
        <v>1882</v>
      </c>
      <c r="C720" s="6" t="s">
        <v>2681</v>
      </c>
      <c r="D720" s="6" t="s">
        <v>2667</v>
      </c>
    </row>
    <row r="721" spans="1:4" x14ac:dyDescent="0.2">
      <c r="A721" s="6" t="s">
        <v>2598</v>
      </c>
      <c r="B721" s="6" t="s">
        <v>1882</v>
      </c>
      <c r="C721" s="6" t="s">
        <v>2681</v>
      </c>
      <c r="D721" s="6" t="s">
        <v>2682</v>
      </c>
    </row>
    <row r="722" spans="1:4" x14ac:dyDescent="0.2">
      <c r="A722" s="6" t="s">
        <v>2599</v>
      </c>
      <c r="B722" s="6" t="s">
        <v>1909</v>
      </c>
      <c r="C722" s="6" t="s">
        <v>1475</v>
      </c>
      <c r="D722" s="6" t="s">
        <v>2675</v>
      </c>
    </row>
    <row r="723" spans="1:4" x14ac:dyDescent="0.2">
      <c r="A723" s="6" t="s">
        <v>2600</v>
      </c>
      <c r="B723" s="6" t="s">
        <v>1880</v>
      </c>
      <c r="C723" s="6" t="s">
        <v>1475</v>
      </c>
      <c r="D723" s="6" t="s">
        <v>2668</v>
      </c>
    </row>
    <row r="724" spans="1:4" x14ac:dyDescent="0.2">
      <c r="A724" s="6" t="s">
        <v>2601</v>
      </c>
      <c r="B724" s="6" t="s">
        <v>1895</v>
      </c>
      <c r="C724" s="6" t="s">
        <v>1917</v>
      </c>
      <c r="D724" s="6" t="s">
        <v>2679</v>
      </c>
    </row>
    <row r="725" spans="1:4" x14ac:dyDescent="0.2">
      <c r="A725" s="6" t="s">
        <v>2602</v>
      </c>
      <c r="B725" s="6" t="s">
        <v>1882</v>
      </c>
      <c r="C725" s="6" t="s">
        <v>1886</v>
      </c>
      <c r="D725" s="6" t="s">
        <v>2677</v>
      </c>
    </row>
    <row r="726" spans="1:4" x14ac:dyDescent="0.2">
      <c r="A726" s="6" t="s">
        <v>2603</v>
      </c>
      <c r="B726" s="6" t="s">
        <v>1882</v>
      </c>
      <c r="C726" s="6" t="s">
        <v>1889</v>
      </c>
      <c r="D726" s="6" t="s">
        <v>2678</v>
      </c>
    </row>
    <row r="727" spans="1:4" x14ac:dyDescent="0.2">
      <c r="A727" s="6" t="s">
        <v>2604</v>
      </c>
      <c r="B727" s="6" t="s">
        <v>1880</v>
      </c>
      <c r="C727" s="6" t="s">
        <v>1898</v>
      </c>
      <c r="D727" s="6" t="s">
        <v>2663</v>
      </c>
    </row>
    <row r="728" spans="1:4" x14ac:dyDescent="0.2">
      <c r="A728" s="6" t="s">
        <v>2605</v>
      </c>
      <c r="B728" s="6" t="s">
        <v>1880</v>
      </c>
      <c r="C728" s="6" t="s">
        <v>1475</v>
      </c>
      <c r="D728" s="6" t="s">
        <v>2665</v>
      </c>
    </row>
    <row r="729" spans="1:4" x14ac:dyDescent="0.2">
      <c r="A729" s="6" t="s">
        <v>2606</v>
      </c>
      <c r="B729" s="6" t="s">
        <v>1880</v>
      </c>
      <c r="C729" s="6" t="s">
        <v>1886</v>
      </c>
      <c r="D729" s="6" t="s">
        <v>2677</v>
      </c>
    </row>
    <row r="730" spans="1:4" x14ac:dyDescent="0.2">
      <c r="A730" s="6" t="s">
        <v>2607</v>
      </c>
      <c r="B730" s="6" t="s">
        <v>1880</v>
      </c>
      <c r="C730" s="6" t="s">
        <v>1889</v>
      </c>
      <c r="D730" s="6" t="s">
        <v>1927</v>
      </c>
    </row>
    <row r="731" spans="1:4" x14ac:dyDescent="0.2">
      <c r="A731" s="6" t="s">
        <v>2608</v>
      </c>
      <c r="B731" s="6" t="s">
        <v>1882</v>
      </c>
      <c r="C731" s="6" t="s">
        <v>2681</v>
      </c>
      <c r="D731" s="6" t="s">
        <v>2660</v>
      </c>
    </row>
    <row r="732" spans="1:4" x14ac:dyDescent="0.2">
      <c r="A732" s="6" t="s">
        <v>2609</v>
      </c>
      <c r="B732" s="6" t="s">
        <v>1882</v>
      </c>
      <c r="C732" s="6" t="s">
        <v>1475</v>
      </c>
      <c r="D732" s="6" t="s">
        <v>2668</v>
      </c>
    </row>
    <row r="733" spans="1:4" x14ac:dyDescent="0.2">
      <c r="A733" s="6" t="s">
        <v>2610</v>
      </c>
      <c r="B733" s="6" t="s">
        <v>1882</v>
      </c>
      <c r="C733" s="6" t="s">
        <v>1898</v>
      </c>
      <c r="D733" s="6" t="s">
        <v>2663</v>
      </c>
    </row>
    <row r="734" spans="1:4" x14ac:dyDescent="0.2">
      <c r="A734" s="6" t="s">
        <v>2611</v>
      </c>
      <c r="B734" s="6" t="s">
        <v>1882</v>
      </c>
      <c r="C734" s="6" t="s">
        <v>1884</v>
      </c>
      <c r="D734" s="6" t="s">
        <v>2673</v>
      </c>
    </row>
    <row r="735" spans="1:4" x14ac:dyDescent="0.2">
      <c r="A735" s="6" t="s">
        <v>2612</v>
      </c>
      <c r="B735" s="6" t="s">
        <v>1909</v>
      </c>
      <c r="C735" s="6" t="s">
        <v>1886</v>
      </c>
      <c r="D735" s="6" t="s">
        <v>1887</v>
      </c>
    </row>
    <row r="736" spans="1:4" x14ac:dyDescent="0.2">
      <c r="A736" s="6" t="s">
        <v>2613</v>
      </c>
      <c r="B736" s="6" t="s">
        <v>1880</v>
      </c>
      <c r="C736" s="6" t="s">
        <v>1898</v>
      </c>
      <c r="D736" s="6" t="s">
        <v>2671</v>
      </c>
    </row>
    <row r="737" spans="1:4" x14ac:dyDescent="0.2">
      <c r="A737" s="6" t="s">
        <v>2614</v>
      </c>
      <c r="B737" s="6" t="s">
        <v>1882</v>
      </c>
      <c r="C737" s="6" t="s">
        <v>1886</v>
      </c>
      <c r="D737" s="6" t="s">
        <v>1887</v>
      </c>
    </row>
    <row r="738" spans="1:4" x14ac:dyDescent="0.2">
      <c r="A738" s="6" t="s">
        <v>2615</v>
      </c>
      <c r="B738" s="6" t="s">
        <v>1882</v>
      </c>
      <c r="C738" s="6" t="s">
        <v>1886</v>
      </c>
      <c r="D738" s="6" t="s">
        <v>2674</v>
      </c>
    </row>
    <row r="739" spans="1:4" x14ac:dyDescent="0.2">
      <c r="A739" s="6" t="s">
        <v>2616</v>
      </c>
      <c r="B739" s="6" t="s">
        <v>1882</v>
      </c>
      <c r="C739" s="6" t="s">
        <v>1917</v>
      </c>
      <c r="D739" s="6" t="s">
        <v>2679</v>
      </c>
    </row>
    <row r="740" spans="1:4" x14ac:dyDescent="0.2">
      <c r="A740" s="6" t="s">
        <v>2617</v>
      </c>
      <c r="B740" s="6" t="s">
        <v>1895</v>
      </c>
      <c r="C740" s="6" t="s">
        <v>1886</v>
      </c>
      <c r="D740" s="6" t="s">
        <v>2677</v>
      </c>
    </row>
    <row r="741" spans="1:4" x14ac:dyDescent="0.2">
      <c r="A741" s="6" t="s">
        <v>2618</v>
      </c>
      <c r="B741" s="6" t="s">
        <v>1895</v>
      </c>
      <c r="C741" s="6" t="s">
        <v>1884</v>
      </c>
      <c r="D741" s="6" t="s">
        <v>2676</v>
      </c>
    </row>
    <row r="742" spans="1:4" x14ac:dyDescent="0.2">
      <c r="A742" s="6" t="s">
        <v>2619</v>
      </c>
      <c r="B742" s="6" t="s">
        <v>1880</v>
      </c>
      <c r="C742" s="6" t="s">
        <v>1884</v>
      </c>
      <c r="D742" s="6" t="s">
        <v>2669</v>
      </c>
    </row>
    <row r="743" spans="1:4" x14ac:dyDescent="0.2">
      <c r="A743" s="6" t="s">
        <v>2620</v>
      </c>
      <c r="B743" s="6" t="s">
        <v>1895</v>
      </c>
      <c r="C743" s="6" t="s">
        <v>2683</v>
      </c>
      <c r="D743" s="6" t="s">
        <v>2684</v>
      </c>
    </row>
    <row r="744" spans="1:4" x14ac:dyDescent="0.2">
      <c r="A744" s="6" t="s">
        <v>2621</v>
      </c>
      <c r="B744" s="6" t="s">
        <v>1882</v>
      </c>
      <c r="C744" s="6" t="s">
        <v>2681</v>
      </c>
      <c r="D744" s="6" t="s">
        <v>2667</v>
      </c>
    </row>
    <row r="745" spans="1:4" x14ac:dyDescent="0.2">
      <c r="A745" s="6" t="s">
        <v>2622</v>
      </c>
      <c r="B745" s="6" t="s">
        <v>1880</v>
      </c>
      <c r="C745" s="6" t="s">
        <v>2683</v>
      </c>
      <c r="D745" s="6" t="s">
        <v>2684</v>
      </c>
    </row>
    <row r="746" spans="1:4" x14ac:dyDescent="0.2">
      <c r="A746" s="6" t="s">
        <v>2623</v>
      </c>
      <c r="B746" s="6" t="s">
        <v>1880</v>
      </c>
      <c r="C746" s="6" t="s">
        <v>1898</v>
      </c>
      <c r="D746" s="6" t="s">
        <v>2666</v>
      </c>
    </row>
    <row r="747" spans="1:4" x14ac:dyDescent="0.2">
      <c r="A747" s="6" t="s">
        <v>2624</v>
      </c>
      <c r="B747" s="6" t="s">
        <v>1880</v>
      </c>
      <c r="C747" s="6" t="s">
        <v>1898</v>
      </c>
      <c r="D747" s="6" t="s">
        <v>2666</v>
      </c>
    </row>
    <row r="748" spans="1:4" x14ac:dyDescent="0.2">
      <c r="A748" s="6" t="s">
        <v>2625</v>
      </c>
      <c r="B748" s="6" t="s">
        <v>1882</v>
      </c>
      <c r="C748" s="6" t="s">
        <v>1886</v>
      </c>
      <c r="D748" s="6" t="s">
        <v>2674</v>
      </c>
    </row>
    <row r="749" spans="1:4" x14ac:dyDescent="0.2">
      <c r="A749" s="6" t="s">
        <v>2626</v>
      </c>
      <c r="B749" s="6" t="s">
        <v>1895</v>
      </c>
      <c r="C749" s="6" t="s">
        <v>2681</v>
      </c>
      <c r="D749" s="6" t="s">
        <v>2664</v>
      </c>
    </row>
    <row r="750" spans="1:4" x14ac:dyDescent="0.2">
      <c r="A750" s="6" t="s">
        <v>2627</v>
      </c>
      <c r="B750" s="6" t="s">
        <v>1880</v>
      </c>
      <c r="C750" s="6" t="s">
        <v>1889</v>
      </c>
      <c r="D750" s="6" t="s">
        <v>1927</v>
      </c>
    </row>
    <row r="751" spans="1:4" x14ac:dyDescent="0.2">
      <c r="A751" s="6" t="s">
        <v>2628</v>
      </c>
      <c r="B751" s="6" t="s">
        <v>1882</v>
      </c>
      <c r="C751" s="6" t="s">
        <v>1884</v>
      </c>
      <c r="D751" s="6" t="s">
        <v>2669</v>
      </c>
    </row>
    <row r="752" spans="1:4" x14ac:dyDescent="0.2">
      <c r="A752" s="6" t="s">
        <v>2629</v>
      </c>
      <c r="B752" s="6" t="s">
        <v>1882</v>
      </c>
      <c r="C752" s="6" t="s">
        <v>1898</v>
      </c>
      <c r="D752" s="6" t="s">
        <v>2671</v>
      </c>
    </row>
    <row r="753" spans="1:4" x14ac:dyDescent="0.2">
      <c r="A753" s="6" t="s">
        <v>2630</v>
      </c>
      <c r="B753" s="6" t="s">
        <v>1895</v>
      </c>
      <c r="C753" s="6" t="s">
        <v>1898</v>
      </c>
      <c r="D753" s="6" t="s">
        <v>2671</v>
      </c>
    </row>
    <row r="754" spans="1:4" x14ac:dyDescent="0.2">
      <c r="A754" s="6" t="s">
        <v>2631</v>
      </c>
      <c r="B754" s="6" t="s">
        <v>1880</v>
      </c>
      <c r="C754" s="6" t="s">
        <v>1917</v>
      </c>
      <c r="D754" s="6" t="s">
        <v>1923</v>
      </c>
    </row>
    <row r="755" spans="1:4" x14ac:dyDescent="0.2">
      <c r="A755" s="6" t="s">
        <v>2632</v>
      </c>
      <c r="B755" s="6" t="s">
        <v>1882</v>
      </c>
      <c r="C755" s="6" t="s">
        <v>1884</v>
      </c>
      <c r="D755" s="6" t="s">
        <v>2676</v>
      </c>
    </row>
    <row r="756" spans="1:4" x14ac:dyDescent="0.2">
      <c r="A756" s="6" t="s">
        <v>2633</v>
      </c>
      <c r="B756" s="6" t="s">
        <v>1895</v>
      </c>
      <c r="C756" s="6" t="s">
        <v>2681</v>
      </c>
      <c r="D756" s="6" t="s">
        <v>2660</v>
      </c>
    </row>
    <row r="757" spans="1:4" x14ac:dyDescent="0.2">
      <c r="A757" s="6" t="s">
        <v>2634</v>
      </c>
      <c r="B757" s="6" t="s">
        <v>1880</v>
      </c>
      <c r="C757" s="6" t="s">
        <v>1898</v>
      </c>
      <c r="D757" s="6" t="s">
        <v>2671</v>
      </c>
    </row>
    <row r="758" spans="1:4" x14ac:dyDescent="0.2">
      <c r="A758" s="6" t="s">
        <v>2635</v>
      </c>
      <c r="B758" s="6" t="s">
        <v>1880</v>
      </c>
      <c r="C758" s="6" t="s">
        <v>1884</v>
      </c>
      <c r="D758" s="6" t="s">
        <v>2669</v>
      </c>
    </row>
    <row r="759" spans="1:4" x14ac:dyDescent="0.2">
      <c r="A759" s="6" t="s">
        <v>2636</v>
      </c>
      <c r="B759" s="6" t="s">
        <v>1882</v>
      </c>
      <c r="C759" s="6" t="s">
        <v>1884</v>
      </c>
      <c r="D759" s="6" t="s">
        <v>2676</v>
      </c>
    </row>
    <row r="760" spans="1:4" x14ac:dyDescent="0.2">
      <c r="A760" s="6" t="s">
        <v>2637</v>
      </c>
      <c r="B760" s="6" t="s">
        <v>1880</v>
      </c>
      <c r="C760" s="6" t="s">
        <v>1884</v>
      </c>
      <c r="D760" s="6" t="s">
        <v>2673</v>
      </c>
    </row>
    <row r="761" spans="1:4" x14ac:dyDescent="0.2">
      <c r="A761" s="6" t="s">
        <v>2638</v>
      </c>
      <c r="B761" s="6" t="s">
        <v>1882</v>
      </c>
      <c r="C761" s="6" t="s">
        <v>2683</v>
      </c>
      <c r="D761" s="6" t="s">
        <v>2684</v>
      </c>
    </row>
    <row r="762" spans="1:4" x14ac:dyDescent="0.2">
      <c r="A762" s="6" t="s">
        <v>2639</v>
      </c>
      <c r="B762" s="6" t="s">
        <v>1882</v>
      </c>
      <c r="C762" s="6" t="s">
        <v>1898</v>
      </c>
      <c r="D762" s="6" t="s">
        <v>2671</v>
      </c>
    </row>
    <row r="763" spans="1:4" x14ac:dyDescent="0.2">
      <c r="A763" s="6" t="s">
        <v>2640</v>
      </c>
      <c r="B763" s="6" t="s">
        <v>1895</v>
      </c>
      <c r="C763" s="6" t="s">
        <v>1917</v>
      </c>
      <c r="D763" s="6" t="s">
        <v>2679</v>
      </c>
    </row>
    <row r="764" spans="1:4" x14ac:dyDescent="0.2">
      <c r="A764" s="6" t="s">
        <v>1875</v>
      </c>
      <c r="B764" s="6" t="s">
        <v>1882</v>
      </c>
      <c r="C764" s="6" t="s">
        <v>1475</v>
      </c>
      <c r="D764" s="6" t="s">
        <v>2675</v>
      </c>
    </row>
    <row r="765" spans="1:4" x14ac:dyDescent="0.2">
      <c r="A765" s="6" t="s">
        <v>2641</v>
      </c>
      <c r="B765" s="6" t="s">
        <v>1882</v>
      </c>
      <c r="C765" s="6" t="s">
        <v>1884</v>
      </c>
      <c r="D765" s="6" t="s">
        <v>2669</v>
      </c>
    </row>
    <row r="766" spans="1:4" x14ac:dyDescent="0.2">
      <c r="A766" s="6" t="s">
        <v>2642</v>
      </c>
      <c r="B766" s="6" t="s">
        <v>1880</v>
      </c>
      <c r="C766" s="6" t="s">
        <v>1475</v>
      </c>
      <c r="D766" s="6" t="s">
        <v>2675</v>
      </c>
    </row>
    <row r="767" spans="1:4" x14ac:dyDescent="0.2">
      <c r="A767" s="6" t="s">
        <v>2643</v>
      </c>
      <c r="B767" s="6" t="s">
        <v>1880</v>
      </c>
      <c r="C767" s="6" t="s">
        <v>1917</v>
      </c>
      <c r="D767" s="6" t="s">
        <v>2679</v>
      </c>
    </row>
    <row r="768" spans="1:4" x14ac:dyDescent="0.2">
      <c r="A768" s="6" t="s">
        <v>2644</v>
      </c>
      <c r="B768" s="6" t="s">
        <v>1895</v>
      </c>
      <c r="C768" s="6" t="s">
        <v>2681</v>
      </c>
      <c r="D768" s="6" t="s">
        <v>2682</v>
      </c>
    </row>
    <row r="769" spans="1:4" x14ac:dyDescent="0.2">
      <c r="A769" s="6" t="s">
        <v>2645</v>
      </c>
      <c r="B769" s="6" t="s">
        <v>1895</v>
      </c>
      <c r="C769" s="6" t="s">
        <v>1889</v>
      </c>
      <c r="D769" s="6" t="s">
        <v>2678</v>
      </c>
    </row>
    <row r="770" spans="1:4" x14ac:dyDescent="0.2">
      <c r="A770" s="6" t="s">
        <v>2646</v>
      </c>
      <c r="B770" s="6" t="s">
        <v>1880</v>
      </c>
      <c r="C770" s="6" t="s">
        <v>1917</v>
      </c>
      <c r="D770" s="6" t="s">
        <v>1923</v>
      </c>
    </row>
    <row r="771" spans="1:4" x14ac:dyDescent="0.2">
      <c r="A771" s="6" t="s">
        <v>2647</v>
      </c>
      <c r="B771" s="6" t="s">
        <v>1895</v>
      </c>
      <c r="C771" s="6" t="s">
        <v>1884</v>
      </c>
      <c r="D771" s="6" t="s">
        <v>2686</v>
      </c>
    </row>
    <row r="772" spans="1:4" x14ac:dyDescent="0.2">
      <c r="A772" s="6" t="s">
        <v>2648</v>
      </c>
      <c r="B772" s="6" t="s">
        <v>1895</v>
      </c>
      <c r="C772" s="6" t="s">
        <v>1884</v>
      </c>
      <c r="D772" s="6" t="s">
        <v>2676</v>
      </c>
    </row>
    <row r="773" spans="1:4" x14ac:dyDescent="0.2">
      <c r="A773" s="6" t="s">
        <v>2649</v>
      </c>
      <c r="B773" s="6" t="s">
        <v>1895</v>
      </c>
      <c r="C773" s="6" t="s">
        <v>2681</v>
      </c>
      <c r="D773" s="6" t="s">
        <v>2660</v>
      </c>
    </row>
    <row r="774" spans="1:4" x14ac:dyDescent="0.2">
      <c r="A774" s="6" t="s">
        <v>2650</v>
      </c>
      <c r="B774" s="6" t="s">
        <v>1880</v>
      </c>
      <c r="C774" s="6" t="s">
        <v>1884</v>
      </c>
      <c r="D774" s="6" t="s">
        <v>2669</v>
      </c>
    </row>
    <row r="775" spans="1:4" x14ac:dyDescent="0.2">
      <c r="A775" s="6" t="s">
        <v>2651</v>
      </c>
      <c r="B775" s="6" t="s">
        <v>1882</v>
      </c>
      <c r="C775" s="6" t="s">
        <v>1898</v>
      </c>
      <c r="D775" s="6" t="s">
        <v>2671</v>
      </c>
    </row>
    <row r="776" spans="1:4" x14ac:dyDescent="0.2">
      <c r="A776" s="6" t="s">
        <v>2652</v>
      </c>
      <c r="B776" s="6" t="s">
        <v>1882</v>
      </c>
      <c r="C776" s="6" t="s">
        <v>1884</v>
      </c>
      <c r="D776" s="6" t="s">
        <v>2669</v>
      </c>
    </row>
    <row r="777" spans="1:4" x14ac:dyDescent="0.2">
      <c r="A777" s="6" t="s">
        <v>2653</v>
      </c>
      <c r="B777" s="6" t="s">
        <v>1895</v>
      </c>
      <c r="C777" s="6" t="s">
        <v>1889</v>
      </c>
      <c r="D777" s="6" t="s">
        <v>2680</v>
      </c>
    </row>
    <row r="778" spans="1:4" x14ac:dyDescent="0.2">
      <c r="A778" s="6" t="s">
        <v>2654</v>
      </c>
      <c r="B778" s="6" t="s">
        <v>1880</v>
      </c>
      <c r="C778" s="6" t="s">
        <v>1475</v>
      </c>
      <c r="D778" s="6" t="s">
        <v>2675</v>
      </c>
    </row>
    <row r="779" spans="1:4" x14ac:dyDescent="0.2">
      <c r="A779" s="6" t="s">
        <v>2655</v>
      </c>
      <c r="B779" s="6" t="s">
        <v>1880</v>
      </c>
      <c r="C779" s="6" t="s">
        <v>1917</v>
      </c>
      <c r="D779" s="6" t="s">
        <v>2679</v>
      </c>
    </row>
    <row r="780" spans="1:4" x14ac:dyDescent="0.2">
      <c r="A780" s="6" t="s">
        <v>2656</v>
      </c>
      <c r="B780" s="6" t="s">
        <v>1880</v>
      </c>
      <c r="C780" s="6" t="s">
        <v>1917</v>
      </c>
      <c r="D780" s="6" t="s">
        <v>1923</v>
      </c>
    </row>
    <row r="781" spans="1:4" x14ac:dyDescent="0.2">
      <c r="A781" s="6" t="s">
        <v>2657</v>
      </c>
      <c r="B781" s="6" t="s">
        <v>1895</v>
      </c>
      <c r="C781" s="6" t="s">
        <v>2681</v>
      </c>
      <c r="D781" s="6" t="s">
        <v>2660</v>
      </c>
    </row>
    <row r="782" spans="1:4" x14ac:dyDescent="0.2">
      <c r="A782" s="6" t="s">
        <v>2658</v>
      </c>
      <c r="B782" s="6" t="s">
        <v>1880</v>
      </c>
      <c r="C782" s="6" t="s">
        <v>1884</v>
      </c>
      <c r="D782" s="6" t="s">
        <v>2673</v>
      </c>
    </row>
  </sheetData>
  <sortState xmlns:xlrd2="http://schemas.microsoft.com/office/spreadsheetml/2017/richdata2" ref="A2:D782">
    <sortCondition ref="A2:A7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1"/>
  <sheetViews>
    <sheetView topLeftCell="A470" zoomScale="70" zoomScaleNormal="70" workbookViewId="0">
      <selection activeCell="A475" sqref="A475"/>
    </sheetView>
  </sheetViews>
  <sheetFormatPr defaultRowHeight="15" x14ac:dyDescent="0.25"/>
  <cols>
    <col min="1" max="1" width="9.28515625" bestFit="1" customWidth="1"/>
    <col min="2" max="2" width="15.85546875" bestFit="1" customWidth="1"/>
    <col min="3" max="4" width="36.5703125" bestFit="1" customWidth="1"/>
    <col min="5" max="5" width="36.5703125" customWidth="1"/>
    <col min="6" max="6" width="34.5703125" bestFit="1" customWidth="1"/>
    <col min="7" max="7" width="12" bestFit="1" customWidth="1"/>
    <col min="8" max="8" width="31.5703125" bestFit="1" customWidth="1"/>
    <col min="9" max="9" width="14.28515625" bestFit="1" customWidth="1"/>
    <col min="10" max="10" width="14.85546875" bestFit="1" customWidth="1"/>
    <col min="11" max="11" width="27.85546875" bestFit="1" customWidth="1"/>
    <col min="12" max="12" width="36.5703125" bestFit="1" customWidth="1"/>
    <col min="13" max="13" width="8.7109375" bestFit="1" customWidth="1"/>
    <col min="14" max="14" width="10.42578125" bestFit="1" customWidth="1"/>
    <col min="15" max="15" width="9.28515625" bestFit="1" customWidth="1"/>
    <col min="16" max="16" width="10.7109375" bestFit="1" customWidth="1"/>
    <col min="17" max="18" width="11.85546875" bestFit="1" customWidth="1"/>
    <col min="19" max="19" width="13.140625" bestFit="1" customWidth="1"/>
  </cols>
  <sheetData>
    <row r="1" spans="1:19" ht="25.5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3116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1476</v>
      </c>
      <c r="M1" s="1" t="s">
        <v>1477</v>
      </c>
      <c r="N1" s="1" t="s">
        <v>1478</v>
      </c>
      <c r="O1" s="1" t="s">
        <v>1479</v>
      </c>
      <c r="P1" s="1" t="s">
        <v>1480</v>
      </c>
      <c r="Q1" s="1" t="s">
        <v>1481</v>
      </c>
      <c r="R1" s="1" t="s">
        <v>1482</v>
      </c>
      <c r="S1" s="1" t="s">
        <v>1483</v>
      </c>
    </row>
    <row r="2" spans="1:19" ht="39" x14ac:dyDescent="0.25">
      <c r="A2" s="2">
        <v>15549023</v>
      </c>
      <c r="B2" s="2" t="s">
        <v>10</v>
      </c>
      <c r="C2" s="2" t="s">
        <v>3117</v>
      </c>
      <c r="D2" s="2" t="s">
        <v>11</v>
      </c>
      <c r="E2" s="2" t="s">
        <v>2688</v>
      </c>
      <c r="F2" s="2" t="s">
        <v>3265</v>
      </c>
      <c r="G2" s="2">
        <v>53947181974</v>
      </c>
      <c r="H2" s="2" t="s">
        <v>12</v>
      </c>
      <c r="I2" s="2" t="s">
        <v>13</v>
      </c>
      <c r="J2" s="3">
        <v>42244</v>
      </c>
      <c r="K2" s="2" t="s">
        <v>14</v>
      </c>
      <c r="L2" s="2" t="s">
        <v>3148</v>
      </c>
      <c r="M2" s="2" t="s">
        <v>1484</v>
      </c>
      <c r="N2" s="8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</row>
    <row r="3" spans="1:19" ht="26.25" x14ac:dyDescent="0.25">
      <c r="A3" s="2">
        <v>8520017</v>
      </c>
      <c r="B3" s="2" t="s">
        <v>10</v>
      </c>
      <c r="C3" s="2" t="s">
        <v>3118</v>
      </c>
      <c r="D3" s="2" t="s">
        <v>3118</v>
      </c>
      <c r="E3" s="2" t="s">
        <v>2689</v>
      </c>
      <c r="F3" s="2" t="s">
        <v>3266</v>
      </c>
      <c r="G3" s="2">
        <v>27239610404</v>
      </c>
      <c r="H3" s="2" t="s">
        <v>15</v>
      </c>
      <c r="I3" s="2" t="s">
        <v>16</v>
      </c>
      <c r="J3" s="3">
        <v>39710</v>
      </c>
      <c r="K3" s="2" t="s">
        <v>14</v>
      </c>
      <c r="L3" s="2" t="s">
        <v>1485</v>
      </c>
      <c r="M3" s="2" t="s">
        <v>1486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ht="39" x14ac:dyDescent="0.25">
      <c r="A4" s="2">
        <v>17520015</v>
      </c>
      <c r="B4" s="2" t="s">
        <v>10</v>
      </c>
      <c r="C4" s="2" t="s">
        <v>3118</v>
      </c>
      <c r="D4" s="2" t="s">
        <v>3118</v>
      </c>
      <c r="E4" s="2" t="s">
        <v>2690</v>
      </c>
      <c r="F4" s="2" t="s">
        <v>3267</v>
      </c>
      <c r="G4" s="2">
        <v>13991419478</v>
      </c>
      <c r="H4" s="2" t="s">
        <v>17</v>
      </c>
      <c r="I4" s="2" t="s">
        <v>18</v>
      </c>
      <c r="J4" s="3">
        <v>42923</v>
      </c>
      <c r="K4" s="2" t="s">
        <v>14</v>
      </c>
      <c r="L4" s="2" t="s">
        <v>1487</v>
      </c>
      <c r="M4" s="2" t="s">
        <v>1484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</row>
    <row r="5" spans="1:19" ht="26.25" x14ac:dyDescent="0.25">
      <c r="A5" s="2">
        <v>13552019</v>
      </c>
      <c r="B5" s="2" t="s">
        <v>10</v>
      </c>
      <c r="C5" s="2" t="s">
        <v>3119</v>
      </c>
      <c r="D5" s="2" t="s">
        <v>19</v>
      </c>
      <c r="E5" s="2" t="s">
        <v>2691</v>
      </c>
      <c r="F5" s="2" t="s">
        <v>3268</v>
      </c>
      <c r="G5" s="2">
        <v>53155731336</v>
      </c>
      <c r="H5" s="2" t="s">
        <v>20</v>
      </c>
      <c r="I5" s="2" t="s">
        <v>21</v>
      </c>
      <c r="J5" s="3">
        <v>41682</v>
      </c>
      <c r="K5" s="2" t="s">
        <v>14</v>
      </c>
      <c r="L5" s="2" t="s">
        <v>1488</v>
      </c>
      <c r="M5" s="2" t="s">
        <v>1484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</row>
    <row r="6" spans="1:19" ht="26.25" x14ac:dyDescent="0.25">
      <c r="A6" s="2">
        <v>11550009</v>
      </c>
      <c r="B6" s="2" t="s">
        <v>10</v>
      </c>
      <c r="C6" s="2" t="s">
        <v>3120</v>
      </c>
      <c r="D6" s="2" t="s">
        <v>22</v>
      </c>
      <c r="E6" s="2" t="s">
        <v>2692</v>
      </c>
      <c r="F6" s="2" t="s">
        <v>3269</v>
      </c>
      <c r="G6" s="2">
        <v>26576508368</v>
      </c>
      <c r="H6" s="2" t="s">
        <v>23</v>
      </c>
      <c r="I6" s="2" t="s">
        <v>24</v>
      </c>
      <c r="J6" s="3">
        <v>40806</v>
      </c>
      <c r="K6" s="2" t="s">
        <v>14</v>
      </c>
      <c r="L6" s="2" t="s">
        <v>3149</v>
      </c>
      <c r="M6" s="2" t="s">
        <v>1486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ht="39" x14ac:dyDescent="0.25">
      <c r="A7" s="2">
        <v>17554034</v>
      </c>
      <c r="B7" s="2" t="s">
        <v>10</v>
      </c>
      <c r="C7" s="2" t="s">
        <v>25</v>
      </c>
      <c r="D7" s="2" t="s">
        <v>25</v>
      </c>
      <c r="E7" s="2" t="s">
        <v>2693</v>
      </c>
      <c r="F7" s="2" t="s">
        <v>3270</v>
      </c>
      <c r="G7" s="2">
        <v>46897732242</v>
      </c>
      <c r="H7" s="2" t="s">
        <v>26</v>
      </c>
      <c r="I7" s="2" t="s">
        <v>27</v>
      </c>
      <c r="J7" s="3">
        <v>42926</v>
      </c>
      <c r="K7" s="2" t="s">
        <v>14</v>
      </c>
      <c r="L7" s="2" t="s">
        <v>1489</v>
      </c>
      <c r="M7" s="2" t="s">
        <v>1484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</row>
    <row r="8" spans="1:19" ht="39" x14ac:dyDescent="0.25">
      <c r="A8" s="2" t="s">
        <v>29</v>
      </c>
      <c r="B8" s="2" t="s">
        <v>10</v>
      </c>
      <c r="C8" s="2" t="s">
        <v>3144</v>
      </c>
      <c r="D8" s="2" t="s">
        <v>28</v>
      </c>
      <c r="E8" s="2" t="s">
        <v>2694</v>
      </c>
      <c r="F8" s="2" t="s">
        <v>3271</v>
      </c>
      <c r="G8" s="2">
        <v>24101483722</v>
      </c>
      <c r="H8" s="2" t="s">
        <v>30</v>
      </c>
      <c r="I8" s="2" t="s">
        <v>31</v>
      </c>
      <c r="J8" s="3">
        <v>42584</v>
      </c>
      <c r="K8" s="2" t="s">
        <v>14</v>
      </c>
      <c r="L8" s="2" t="s">
        <v>1490</v>
      </c>
      <c r="M8" s="2" t="s">
        <v>1484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</row>
    <row r="9" spans="1:19" ht="26.25" x14ac:dyDescent="0.25">
      <c r="A9" s="2">
        <v>98532105</v>
      </c>
      <c r="B9" s="2" t="s">
        <v>10</v>
      </c>
      <c r="C9" s="2" t="s">
        <v>32</v>
      </c>
      <c r="D9" s="2" t="s">
        <v>33</v>
      </c>
      <c r="E9" s="2" t="s">
        <v>2695</v>
      </c>
      <c r="F9" s="2" t="s">
        <v>3272</v>
      </c>
      <c r="G9" s="2">
        <v>38599442598</v>
      </c>
      <c r="H9" s="2" t="s">
        <v>34</v>
      </c>
      <c r="I9" s="2" t="s">
        <v>35</v>
      </c>
      <c r="J9" s="3">
        <v>40772</v>
      </c>
      <c r="K9" s="2" t="s">
        <v>36</v>
      </c>
      <c r="L9" s="2" t="s">
        <v>1491</v>
      </c>
      <c r="M9" s="2" t="s">
        <v>1486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26.25" x14ac:dyDescent="0.25">
      <c r="A10" s="2">
        <v>15567022</v>
      </c>
      <c r="B10" s="2" t="s">
        <v>10</v>
      </c>
      <c r="C10" s="2" t="s">
        <v>3121</v>
      </c>
      <c r="D10" s="2" t="s">
        <v>3121</v>
      </c>
      <c r="E10" s="2" t="s">
        <v>37</v>
      </c>
      <c r="F10" s="2" t="s">
        <v>3273</v>
      </c>
      <c r="G10" s="2">
        <v>99695317852</v>
      </c>
      <c r="H10" s="2" t="s">
        <v>38</v>
      </c>
      <c r="I10" s="2" t="s">
        <v>39</v>
      </c>
      <c r="J10" s="3">
        <v>42265</v>
      </c>
      <c r="K10" s="2" t="s">
        <v>14</v>
      </c>
      <c r="L10" s="2" t="s">
        <v>3150</v>
      </c>
      <c r="M10" s="2" t="s">
        <v>1484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</row>
    <row r="11" spans="1:19" ht="26.25" x14ac:dyDescent="0.25">
      <c r="A11" s="2">
        <v>13506010</v>
      </c>
      <c r="B11" s="2" t="s">
        <v>10</v>
      </c>
      <c r="C11" s="2" t="s">
        <v>3122</v>
      </c>
      <c r="D11" s="2" t="s">
        <v>3122</v>
      </c>
      <c r="E11" s="2" t="s">
        <v>2696</v>
      </c>
      <c r="F11" s="2" t="s">
        <v>3274</v>
      </c>
      <c r="G11" s="2">
        <v>15202748582</v>
      </c>
      <c r="H11" s="2" t="s">
        <v>40</v>
      </c>
      <c r="I11" s="2" t="s">
        <v>41</v>
      </c>
      <c r="J11" s="3">
        <v>41460</v>
      </c>
      <c r="K11" s="2" t="s">
        <v>14</v>
      </c>
      <c r="L11" s="2" t="s">
        <v>1492</v>
      </c>
      <c r="M11" s="2" t="s">
        <v>1484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</row>
    <row r="12" spans="1:19" ht="51.75" x14ac:dyDescent="0.25">
      <c r="A12" s="2">
        <v>15561004</v>
      </c>
      <c r="B12" s="2" t="s">
        <v>10</v>
      </c>
      <c r="C12" s="2" t="s">
        <v>32</v>
      </c>
      <c r="D12" s="2" t="s">
        <v>42</v>
      </c>
      <c r="E12" s="2" t="s">
        <v>2697</v>
      </c>
      <c r="F12" s="2" t="s">
        <v>3275</v>
      </c>
      <c r="G12" s="2">
        <v>71335158452</v>
      </c>
      <c r="H12" s="2" t="s">
        <v>43</v>
      </c>
      <c r="I12" s="2" t="s">
        <v>44</v>
      </c>
      <c r="J12" s="3">
        <v>42181</v>
      </c>
      <c r="K12" s="2" t="s">
        <v>14</v>
      </c>
      <c r="L12" s="2" t="s">
        <v>1493</v>
      </c>
      <c r="M12" s="2" t="s">
        <v>1484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</row>
    <row r="13" spans="1:19" ht="39" x14ac:dyDescent="0.25">
      <c r="A13" s="2">
        <v>17535003</v>
      </c>
      <c r="B13" s="2" t="s">
        <v>10</v>
      </c>
      <c r="C13" s="2" t="s">
        <v>32</v>
      </c>
      <c r="D13" s="2" t="s">
        <v>45</v>
      </c>
      <c r="E13" s="2" t="s">
        <v>2698</v>
      </c>
      <c r="F13" s="2" t="s">
        <v>3276</v>
      </c>
      <c r="G13" s="2">
        <v>49909396920</v>
      </c>
      <c r="H13" s="2" t="s">
        <v>46</v>
      </c>
      <c r="I13" s="2" t="s">
        <v>47</v>
      </c>
      <c r="J13" s="3">
        <v>42923</v>
      </c>
      <c r="K13" s="2" t="s">
        <v>14</v>
      </c>
      <c r="L13" s="2" t="s">
        <v>1494</v>
      </c>
      <c r="M13" s="2" t="s">
        <v>1484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</row>
    <row r="14" spans="1:19" ht="26.25" x14ac:dyDescent="0.25">
      <c r="A14" s="2">
        <v>16530004</v>
      </c>
      <c r="B14" s="2" t="s">
        <v>10</v>
      </c>
      <c r="C14" s="2" t="s">
        <v>32</v>
      </c>
      <c r="D14" s="2" t="s">
        <v>48</v>
      </c>
      <c r="E14" s="2" t="s">
        <v>49</v>
      </c>
      <c r="F14" s="2" t="s">
        <v>3277</v>
      </c>
      <c r="G14" s="2">
        <v>27148589396</v>
      </c>
      <c r="H14" s="2" t="s">
        <v>50</v>
      </c>
      <c r="I14" s="2" t="s">
        <v>51</v>
      </c>
      <c r="J14" s="3">
        <v>42583</v>
      </c>
      <c r="K14" s="2" t="s">
        <v>14</v>
      </c>
      <c r="L14" s="2" t="s">
        <v>1495</v>
      </c>
      <c r="M14" s="2" t="s">
        <v>1484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</row>
    <row r="15" spans="1:19" ht="26.25" x14ac:dyDescent="0.25">
      <c r="A15" s="2">
        <v>9504001</v>
      </c>
      <c r="B15" s="2" t="s">
        <v>10</v>
      </c>
      <c r="C15" s="2" t="s">
        <v>3123</v>
      </c>
      <c r="D15" s="2" t="s">
        <v>52</v>
      </c>
      <c r="E15" s="2" t="s">
        <v>2699</v>
      </c>
      <c r="F15" s="2" t="s">
        <v>3278</v>
      </c>
      <c r="G15" s="2">
        <v>28894708512</v>
      </c>
      <c r="H15" s="2" t="s">
        <v>53</v>
      </c>
      <c r="I15" s="2" t="s">
        <v>54</v>
      </c>
      <c r="J15" s="3">
        <v>40079</v>
      </c>
      <c r="K15" s="2" t="s">
        <v>14</v>
      </c>
      <c r="L15" s="2" t="s">
        <v>1496</v>
      </c>
      <c r="M15" s="2" t="s">
        <v>1486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ht="26.25" x14ac:dyDescent="0.25">
      <c r="A16" s="2">
        <v>15535019</v>
      </c>
      <c r="B16" s="2" t="s">
        <v>10</v>
      </c>
      <c r="C16" s="2" t="s">
        <v>32</v>
      </c>
      <c r="D16" s="2" t="s">
        <v>45</v>
      </c>
      <c r="E16" s="2" t="s">
        <v>2700</v>
      </c>
      <c r="F16" s="2" t="s">
        <v>3279</v>
      </c>
      <c r="G16" s="2">
        <v>33277047980</v>
      </c>
      <c r="H16" s="2" t="s">
        <v>55</v>
      </c>
      <c r="I16" s="2" t="s">
        <v>56</v>
      </c>
      <c r="J16" s="3">
        <v>42395</v>
      </c>
      <c r="K16" s="2" t="s">
        <v>14</v>
      </c>
      <c r="L16" s="2" t="s">
        <v>1497</v>
      </c>
      <c r="M16" s="2" t="s">
        <v>1484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</row>
    <row r="17" spans="1:19" ht="51.75" x14ac:dyDescent="0.25">
      <c r="A17" s="2">
        <v>15530010</v>
      </c>
      <c r="B17" s="2" t="s">
        <v>10</v>
      </c>
      <c r="C17" s="2" t="s">
        <v>32</v>
      </c>
      <c r="D17" s="2" t="s">
        <v>48</v>
      </c>
      <c r="E17" s="2" t="s">
        <v>57</v>
      </c>
      <c r="F17" s="2" t="s">
        <v>3280</v>
      </c>
      <c r="G17" s="2">
        <v>21049712860</v>
      </c>
      <c r="H17" s="2" t="s">
        <v>58</v>
      </c>
      <c r="I17" s="2" t="s">
        <v>59</v>
      </c>
      <c r="J17" s="3">
        <v>42188</v>
      </c>
      <c r="K17" s="2" t="s">
        <v>14</v>
      </c>
      <c r="L17" s="2" t="s">
        <v>1498</v>
      </c>
      <c r="M17" s="2" t="s">
        <v>1484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</row>
    <row r="18" spans="1:19" ht="26.25" x14ac:dyDescent="0.25">
      <c r="A18" s="2">
        <v>16520005</v>
      </c>
      <c r="B18" s="2" t="s">
        <v>10</v>
      </c>
      <c r="C18" s="2" t="s">
        <v>3118</v>
      </c>
      <c r="D18" s="2" t="s">
        <v>3118</v>
      </c>
      <c r="E18" s="2" t="s">
        <v>60</v>
      </c>
      <c r="F18" s="2" t="s">
        <v>3281</v>
      </c>
      <c r="G18" s="2">
        <v>58039599996</v>
      </c>
      <c r="H18" s="2" t="s">
        <v>61</v>
      </c>
      <c r="I18" s="2" t="s">
        <v>62</v>
      </c>
      <c r="J18" s="3">
        <v>42583</v>
      </c>
      <c r="K18" s="2" t="s">
        <v>14</v>
      </c>
      <c r="L18" s="2" t="s">
        <v>1499</v>
      </c>
      <c r="M18" s="2" t="s">
        <v>1484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</row>
    <row r="19" spans="1:19" ht="39" x14ac:dyDescent="0.25">
      <c r="A19" s="2">
        <v>12527004</v>
      </c>
      <c r="B19" s="2" t="s">
        <v>10</v>
      </c>
      <c r="C19" s="2" t="s">
        <v>3124</v>
      </c>
      <c r="D19" s="2" t="s">
        <v>63</v>
      </c>
      <c r="E19" s="2" t="s">
        <v>2701</v>
      </c>
      <c r="F19" s="2" t="s">
        <v>3282</v>
      </c>
      <c r="G19" s="2">
        <v>56122586038</v>
      </c>
      <c r="H19" s="2" t="s">
        <v>64</v>
      </c>
      <c r="I19" s="2" t="s">
        <v>65</v>
      </c>
      <c r="J19" s="3">
        <v>41162</v>
      </c>
      <c r="K19" s="2" t="s">
        <v>14</v>
      </c>
      <c r="L19" s="2" t="s">
        <v>1500</v>
      </c>
      <c r="M19" s="2" t="s">
        <v>1486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ht="51.75" x14ac:dyDescent="0.25">
      <c r="A20" s="2">
        <v>13507003</v>
      </c>
      <c r="B20" s="2" t="s">
        <v>66</v>
      </c>
      <c r="C20" s="2" t="s">
        <v>67</v>
      </c>
      <c r="D20" s="2" t="s">
        <v>67</v>
      </c>
      <c r="E20" s="2" t="s">
        <v>2702</v>
      </c>
      <c r="F20" s="2" t="s">
        <v>3283</v>
      </c>
      <c r="G20" s="2">
        <v>26416617946</v>
      </c>
      <c r="H20" s="2" t="s">
        <v>68</v>
      </c>
      <c r="I20" s="2" t="s">
        <v>69</v>
      </c>
      <c r="J20" s="3">
        <v>41460</v>
      </c>
      <c r="K20" s="2" t="s">
        <v>14</v>
      </c>
      <c r="L20" s="2" t="s">
        <v>1501</v>
      </c>
      <c r="M20" s="2" t="s">
        <v>1484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</row>
    <row r="21" spans="1:19" ht="26.25" x14ac:dyDescent="0.25">
      <c r="A21" s="2">
        <v>15505043</v>
      </c>
      <c r="B21" s="2" t="s">
        <v>10</v>
      </c>
      <c r="C21" s="2" t="s">
        <v>3123</v>
      </c>
      <c r="D21" s="2" t="s">
        <v>70</v>
      </c>
      <c r="E21" s="2" t="s">
        <v>2703</v>
      </c>
      <c r="F21" s="2" t="s">
        <v>3284</v>
      </c>
      <c r="G21" s="2">
        <v>99587331690</v>
      </c>
      <c r="H21" s="2" t="s">
        <v>71</v>
      </c>
      <c r="I21" s="2"/>
      <c r="J21" s="3">
        <v>42285</v>
      </c>
      <c r="K21" s="2" t="s">
        <v>14</v>
      </c>
      <c r="L21" s="2" t="s">
        <v>3151</v>
      </c>
      <c r="M21" s="2" t="s">
        <v>1484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</row>
    <row r="22" spans="1:19" ht="39" x14ac:dyDescent="0.25">
      <c r="A22" s="2">
        <v>12504018</v>
      </c>
      <c r="B22" s="2" t="s">
        <v>10</v>
      </c>
      <c r="C22" s="2" t="s">
        <v>3123</v>
      </c>
      <c r="D22" s="2" t="s">
        <v>52</v>
      </c>
      <c r="E22" s="2" t="s">
        <v>2704</v>
      </c>
      <c r="F22" s="2" t="s">
        <v>3285</v>
      </c>
      <c r="G22" s="2">
        <v>39094330922</v>
      </c>
      <c r="H22" s="2" t="s">
        <v>72</v>
      </c>
      <c r="I22" s="2" t="s">
        <v>73</v>
      </c>
      <c r="J22" s="3">
        <v>41164</v>
      </c>
      <c r="K22" s="2" t="s">
        <v>14</v>
      </c>
      <c r="L22" s="2" t="s">
        <v>3152</v>
      </c>
      <c r="M22" s="2" t="s">
        <v>1486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51.75" x14ac:dyDescent="0.25">
      <c r="A23" s="2">
        <v>13554001</v>
      </c>
      <c r="B23" s="2" t="s">
        <v>10</v>
      </c>
      <c r="C23" s="2" t="s">
        <v>25</v>
      </c>
      <c r="D23" s="2" t="s">
        <v>25</v>
      </c>
      <c r="E23" s="2" t="s">
        <v>2705</v>
      </c>
      <c r="F23" s="2" t="s">
        <v>3286</v>
      </c>
      <c r="G23" s="2">
        <v>58141431030</v>
      </c>
      <c r="H23" s="2" t="s">
        <v>74</v>
      </c>
      <c r="I23" s="2" t="s">
        <v>75</v>
      </c>
      <c r="J23" s="3">
        <v>41459</v>
      </c>
      <c r="K23" s="2" t="s">
        <v>14</v>
      </c>
      <c r="L23" s="2" t="s">
        <v>1502</v>
      </c>
      <c r="M23" s="2" t="s">
        <v>1484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</row>
    <row r="24" spans="1:19" ht="26.25" x14ac:dyDescent="0.25">
      <c r="A24" s="2">
        <v>13505035</v>
      </c>
      <c r="B24" s="2" t="s">
        <v>10</v>
      </c>
      <c r="C24" s="2" t="s">
        <v>3123</v>
      </c>
      <c r="D24" s="2" t="s">
        <v>70</v>
      </c>
      <c r="E24" s="2" t="s">
        <v>76</v>
      </c>
      <c r="F24" s="2" t="s">
        <v>3287</v>
      </c>
      <c r="G24" s="2">
        <v>25795800994</v>
      </c>
      <c r="H24" s="2" t="s">
        <v>77</v>
      </c>
      <c r="I24" s="2" t="s">
        <v>78</v>
      </c>
      <c r="J24" s="3">
        <v>43348</v>
      </c>
      <c r="K24" s="2" t="s">
        <v>14</v>
      </c>
      <c r="L24" s="2" t="s">
        <v>3153</v>
      </c>
      <c r="M24" s="2" t="s">
        <v>1484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</row>
    <row r="25" spans="1:19" ht="26.25" x14ac:dyDescent="0.25">
      <c r="A25" s="2">
        <v>15520062</v>
      </c>
      <c r="B25" s="2" t="s">
        <v>10</v>
      </c>
      <c r="C25" s="2" t="s">
        <v>3118</v>
      </c>
      <c r="D25" s="2" t="s">
        <v>3118</v>
      </c>
      <c r="E25" s="2" t="s">
        <v>2706</v>
      </c>
      <c r="F25" s="2" t="s">
        <v>3288</v>
      </c>
      <c r="G25" s="2">
        <v>52207121088</v>
      </c>
      <c r="H25" s="2" t="s">
        <v>79</v>
      </c>
      <c r="I25" s="2" t="s">
        <v>80</v>
      </c>
      <c r="J25" s="3">
        <v>42401</v>
      </c>
      <c r="K25" s="2" t="s">
        <v>14</v>
      </c>
      <c r="L25" s="2" t="s">
        <v>1503</v>
      </c>
      <c r="M25" s="2" t="s">
        <v>1484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</row>
    <row r="26" spans="1:19" ht="39" x14ac:dyDescent="0.25">
      <c r="A26" s="2">
        <v>14554034</v>
      </c>
      <c r="B26" s="2" t="s">
        <v>66</v>
      </c>
      <c r="C26" s="2" t="s">
        <v>25</v>
      </c>
      <c r="D26" s="2" t="s">
        <v>25</v>
      </c>
      <c r="E26" s="2" t="s">
        <v>81</v>
      </c>
      <c r="F26" s="2" t="s">
        <v>3289</v>
      </c>
      <c r="G26" s="2">
        <v>45043527886</v>
      </c>
      <c r="H26" s="2" t="s">
        <v>82</v>
      </c>
      <c r="I26" s="2" t="s">
        <v>83</v>
      </c>
      <c r="J26" s="3">
        <v>42037</v>
      </c>
      <c r="K26" s="2" t="s">
        <v>14</v>
      </c>
      <c r="L26" s="2" t="s">
        <v>1504</v>
      </c>
      <c r="M26" s="2" t="s">
        <v>1484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</row>
    <row r="27" spans="1:19" ht="26.25" x14ac:dyDescent="0.25">
      <c r="A27" s="2">
        <v>13508011</v>
      </c>
      <c r="B27" s="2" t="s">
        <v>66</v>
      </c>
      <c r="C27" s="2" t="s">
        <v>3142</v>
      </c>
      <c r="D27" s="2" t="s">
        <v>3142</v>
      </c>
      <c r="E27" s="2" t="s">
        <v>2707</v>
      </c>
      <c r="F27" s="2" t="s">
        <v>3290</v>
      </c>
      <c r="G27" s="2">
        <v>57994375706</v>
      </c>
      <c r="H27" s="2" t="s">
        <v>84</v>
      </c>
      <c r="I27" s="2" t="s">
        <v>85</v>
      </c>
      <c r="J27" s="3">
        <v>41519</v>
      </c>
      <c r="K27" s="2" t="s">
        <v>14</v>
      </c>
      <c r="L27" s="2" t="s">
        <v>1505</v>
      </c>
      <c r="M27" s="2" t="s">
        <v>1484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</row>
    <row r="28" spans="1:19" ht="39" x14ac:dyDescent="0.25">
      <c r="A28" s="2">
        <v>15567023</v>
      </c>
      <c r="B28" s="2" t="s">
        <v>10</v>
      </c>
      <c r="C28" s="2" t="s">
        <v>3117</v>
      </c>
      <c r="D28" s="2" t="s">
        <v>86</v>
      </c>
      <c r="E28" s="2" t="s">
        <v>87</v>
      </c>
      <c r="F28" s="2" t="s">
        <v>3291</v>
      </c>
      <c r="G28" s="2">
        <v>42299170958</v>
      </c>
      <c r="H28" s="2" t="s">
        <v>88</v>
      </c>
      <c r="I28" s="2" t="s">
        <v>89</v>
      </c>
      <c r="J28" s="3">
        <v>42265</v>
      </c>
      <c r="K28" s="2" t="s">
        <v>14</v>
      </c>
      <c r="L28" s="2" t="s">
        <v>3154</v>
      </c>
      <c r="M28" s="2" t="s">
        <v>1484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</row>
    <row r="29" spans="1:19" ht="26.25" x14ac:dyDescent="0.25">
      <c r="A29" s="2">
        <v>12524003</v>
      </c>
      <c r="B29" s="2" t="s">
        <v>10</v>
      </c>
      <c r="C29" s="2" t="s">
        <v>3119</v>
      </c>
      <c r="D29" s="2" t="s">
        <v>90</v>
      </c>
      <c r="E29" s="2" t="s">
        <v>2708</v>
      </c>
      <c r="F29" s="2" t="s">
        <v>3292</v>
      </c>
      <c r="G29" s="2">
        <v>17431614782</v>
      </c>
      <c r="H29" s="2" t="s">
        <v>91</v>
      </c>
      <c r="I29" s="2" t="s">
        <v>92</v>
      </c>
      <c r="J29" s="3">
        <v>41163</v>
      </c>
      <c r="K29" s="2" t="s">
        <v>14</v>
      </c>
      <c r="L29" s="2" t="s">
        <v>3155</v>
      </c>
      <c r="M29" s="2" t="s">
        <v>1486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t="51.75" x14ac:dyDescent="0.25">
      <c r="A30" s="2">
        <v>13550016</v>
      </c>
      <c r="B30" s="2" t="s">
        <v>10</v>
      </c>
      <c r="C30" s="2" t="s">
        <v>3120</v>
      </c>
      <c r="D30" s="2" t="s">
        <v>22</v>
      </c>
      <c r="E30" s="2" t="s">
        <v>2709</v>
      </c>
      <c r="F30" s="2" t="s">
        <v>3293</v>
      </c>
      <c r="G30" s="2">
        <v>31084089766</v>
      </c>
      <c r="H30" s="2" t="s">
        <v>93</v>
      </c>
      <c r="I30" s="2" t="s">
        <v>94</v>
      </c>
      <c r="J30" s="3">
        <v>41520</v>
      </c>
      <c r="K30" s="2" t="s">
        <v>14</v>
      </c>
      <c r="L30" s="2" t="s">
        <v>1506</v>
      </c>
      <c r="M30" s="2" t="s">
        <v>1484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</row>
    <row r="31" spans="1:19" ht="26.25" x14ac:dyDescent="0.25">
      <c r="A31" s="2">
        <v>13549007</v>
      </c>
      <c r="B31" s="2" t="s">
        <v>10</v>
      </c>
      <c r="C31" s="2" t="s">
        <v>3117</v>
      </c>
      <c r="D31" s="2" t="s">
        <v>11</v>
      </c>
      <c r="E31" s="2" t="s">
        <v>95</v>
      </c>
      <c r="F31" s="2" t="s">
        <v>3294</v>
      </c>
      <c r="G31" s="2">
        <v>25043177458</v>
      </c>
      <c r="H31" s="2" t="s">
        <v>96</v>
      </c>
      <c r="I31" s="2" t="s">
        <v>97</v>
      </c>
      <c r="J31" s="3">
        <v>41459</v>
      </c>
      <c r="K31" s="2" t="s">
        <v>14</v>
      </c>
      <c r="L31" s="2" t="s">
        <v>3156</v>
      </c>
      <c r="M31" s="2" t="s">
        <v>1484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</row>
    <row r="32" spans="1:19" ht="26.25" x14ac:dyDescent="0.25">
      <c r="A32" s="2">
        <v>12568106</v>
      </c>
      <c r="B32" s="2" t="s">
        <v>10</v>
      </c>
      <c r="C32" s="2" t="s">
        <v>3125</v>
      </c>
      <c r="D32" s="2" t="s">
        <v>3125</v>
      </c>
      <c r="E32" s="2" t="s">
        <v>98</v>
      </c>
      <c r="F32" s="2" t="s">
        <v>3295</v>
      </c>
      <c r="G32" s="2">
        <v>10313510318</v>
      </c>
      <c r="H32" s="2" t="s">
        <v>99</v>
      </c>
      <c r="I32" s="2" t="s">
        <v>100</v>
      </c>
      <c r="J32" s="3">
        <v>41317</v>
      </c>
      <c r="K32" s="2" t="s">
        <v>14</v>
      </c>
      <c r="L32" s="2" t="s">
        <v>1507</v>
      </c>
      <c r="M32" s="2" t="s">
        <v>1484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0</v>
      </c>
    </row>
    <row r="33" spans="1:19" ht="64.5" x14ac:dyDescent="0.25">
      <c r="A33" s="2">
        <v>15520043</v>
      </c>
      <c r="B33" s="2" t="s">
        <v>10</v>
      </c>
      <c r="C33" s="2" t="s">
        <v>3118</v>
      </c>
      <c r="D33" s="2" t="s">
        <v>3118</v>
      </c>
      <c r="E33" s="2" t="s">
        <v>2710</v>
      </c>
      <c r="F33" s="2" t="s">
        <v>3296</v>
      </c>
      <c r="G33" s="2">
        <v>36265116774</v>
      </c>
      <c r="H33" s="2" t="s">
        <v>101</v>
      </c>
      <c r="I33" s="2" t="s">
        <v>102</v>
      </c>
      <c r="J33" s="3">
        <v>42389</v>
      </c>
      <c r="K33" s="2" t="s">
        <v>36</v>
      </c>
      <c r="L33" s="2" t="s">
        <v>3157</v>
      </c>
      <c r="M33" s="2" t="s">
        <v>1484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</row>
    <row r="34" spans="1:19" ht="26.25" x14ac:dyDescent="0.25">
      <c r="A34" s="2">
        <v>15596004</v>
      </c>
      <c r="B34" s="2" t="s">
        <v>10</v>
      </c>
      <c r="C34" s="2" t="s">
        <v>3126</v>
      </c>
      <c r="D34" s="2" t="s">
        <v>3126</v>
      </c>
      <c r="E34" s="2" t="s">
        <v>2711</v>
      </c>
      <c r="F34" s="2" t="s">
        <v>3297</v>
      </c>
      <c r="G34" s="2">
        <v>99619263982</v>
      </c>
      <c r="H34" s="2" t="s">
        <v>103</v>
      </c>
      <c r="I34" s="2" t="s">
        <v>104</v>
      </c>
      <c r="J34" s="3">
        <v>42191</v>
      </c>
      <c r="K34" s="2" t="s">
        <v>14</v>
      </c>
      <c r="L34" s="2" t="s">
        <v>1508</v>
      </c>
      <c r="M34" s="2" t="s">
        <v>1484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</row>
    <row r="35" spans="1:19" ht="26.25" x14ac:dyDescent="0.25">
      <c r="A35" s="2">
        <v>15525027</v>
      </c>
      <c r="B35" s="2" t="s">
        <v>66</v>
      </c>
      <c r="C35" s="2" t="s">
        <v>105</v>
      </c>
      <c r="D35" s="2" t="s">
        <v>105</v>
      </c>
      <c r="E35" s="2" t="s">
        <v>2712</v>
      </c>
      <c r="F35" s="2" t="s">
        <v>3298</v>
      </c>
      <c r="G35" s="2">
        <v>36334177026</v>
      </c>
      <c r="H35" s="2" t="s">
        <v>106</v>
      </c>
      <c r="I35" s="2" t="s">
        <v>107</v>
      </c>
      <c r="J35" s="3">
        <v>42263</v>
      </c>
      <c r="K35" s="2" t="s">
        <v>14</v>
      </c>
      <c r="L35" s="2" t="s">
        <v>1509</v>
      </c>
      <c r="M35" s="2" t="s">
        <v>1484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</row>
    <row r="36" spans="1:19" ht="26.25" x14ac:dyDescent="0.25">
      <c r="A36" s="2">
        <v>16552005</v>
      </c>
      <c r="B36" s="2" t="s">
        <v>10</v>
      </c>
      <c r="C36" s="2" t="s">
        <v>3119</v>
      </c>
      <c r="D36" s="2" t="s">
        <v>19</v>
      </c>
      <c r="E36" s="2" t="s">
        <v>2713</v>
      </c>
      <c r="F36" s="2" t="s">
        <v>3299</v>
      </c>
      <c r="G36" s="2">
        <v>41365611838</v>
      </c>
      <c r="H36" s="2" t="s">
        <v>108</v>
      </c>
      <c r="I36" s="2" t="s">
        <v>109</v>
      </c>
      <c r="J36" s="3">
        <v>42584</v>
      </c>
      <c r="K36" s="2" t="s">
        <v>110</v>
      </c>
      <c r="L36" s="2" t="s">
        <v>1510</v>
      </c>
      <c r="M36" s="2" t="s">
        <v>1484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</row>
    <row r="37" spans="1:19" ht="26.25" x14ac:dyDescent="0.25">
      <c r="A37" s="2">
        <v>12567009</v>
      </c>
      <c r="B37" s="2" t="s">
        <v>10</v>
      </c>
      <c r="C37" s="2" t="s">
        <v>3121</v>
      </c>
      <c r="D37" s="2" t="s">
        <v>3121</v>
      </c>
      <c r="E37" s="2" t="s">
        <v>2714</v>
      </c>
      <c r="F37" s="2" t="s">
        <v>3300</v>
      </c>
      <c r="G37" s="2">
        <v>65413073638</v>
      </c>
      <c r="H37" s="2" t="s">
        <v>111</v>
      </c>
      <c r="I37" s="2" t="s">
        <v>112</v>
      </c>
      <c r="J37" s="3">
        <v>41163</v>
      </c>
      <c r="K37" s="2" t="s">
        <v>36</v>
      </c>
      <c r="L37" s="2" t="s">
        <v>3158</v>
      </c>
      <c r="M37" s="2" t="s">
        <v>1486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ht="51.75" x14ac:dyDescent="0.25">
      <c r="A38" s="2">
        <v>13570016</v>
      </c>
      <c r="B38" s="2" t="s">
        <v>66</v>
      </c>
      <c r="C38" s="2" t="s">
        <v>3127</v>
      </c>
      <c r="D38" s="2" t="s">
        <v>3127</v>
      </c>
      <c r="E38" s="2" t="s">
        <v>113</v>
      </c>
      <c r="F38" s="2" t="s">
        <v>3301</v>
      </c>
      <c r="G38" s="2">
        <v>19342884346</v>
      </c>
      <c r="H38" s="2" t="s">
        <v>114</v>
      </c>
      <c r="I38" s="2" t="s">
        <v>115</v>
      </c>
      <c r="J38" s="3">
        <v>41528</v>
      </c>
      <c r="K38" s="2" t="s">
        <v>14</v>
      </c>
      <c r="L38" s="2" t="s">
        <v>1511</v>
      </c>
      <c r="M38" s="2" t="s">
        <v>1484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</row>
    <row r="39" spans="1:19" ht="26.25" x14ac:dyDescent="0.25">
      <c r="A39" s="2">
        <v>16552003</v>
      </c>
      <c r="B39" s="2" t="s">
        <v>10</v>
      </c>
      <c r="C39" s="2" t="s">
        <v>3119</v>
      </c>
      <c r="D39" s="2" t="s">
        <v>19</v>
      </c>
      <c r="E39" s="2" t="s">
        <v>2715</v>
      </c>
      <c r="F39" s="2" t="s">
        <v>3302</v>
      </c>
      <c r="G39" s="2">
        <v>14588253758</v>
      </c>
      <c r="H39" s="2" t="s">
        <v>116</v>
      </c>
      <c r="I39" s="2" t="s">
        <v>117</v>
      </c>
      <c r="J39" s="3">
        <v>42584</v>
      </c>
      <c r="K39" s="2" t="s">
        <v>14</v>
      </c>
      <c r="L39" s="2" t="s">
        <v>3159</v>
      </c>
      <c r="M39" s="2" t="s">
        <v>1484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</row>
    <row r="40" spans="1:19" ht="39" x14ac:dyDescent="0.25">
      <c r="A40" s="2">
        <v>8547005</v>
      </c>
      <c r="B40" s="2" t="s">
        <v>10</v>
      </c>
      <c r="C40" s="2" t="s">
        <v>3128</v>
      </c>
      <c r="D40" s="2" t="s">
        <v>3129</v>
      </c>
      <c r="E40" s="2" t="s">
        <v>118</v>
      </c>
      <c r="F40" s="2" t="s">
        <v>3303</v>
      </c>
      <c r="G40" s="2">
        <v>36058593560</v>
      </c>
      <c r="H40" s="2" t="s">
        <v>119</v>
      </c>
      <c r="I40" s="2" t="s">
        <v>120</v>
      </c>
      <c r="J40" s="3">
        <v>39707</v>
      </c>
      <c r="K40" s="2" t="s">
        <v>36</v>
      </c>
      <c r="L40" s="2" t="s">
        <v>1512</v>
      </c>
      <c r="M40" s="2" t="s">
        <v>1486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t="26.25" x14ac:dyDescent="0.25">
      <c r="A41" s="2">
        <v>14547008</v>
      </c>
      <c r="B41" s="2" t="s">
        <v>10</v>
      </c>
      <c r="C41" s="2" t="s">
        <v>3128</v>
      </c>
      <c r="D41" s="2" t="s">
        <v>3129</v>
      </c>
      <c r="E41" s="2" t="s">
        <v>121</v>
      </c>
      <c r="F41" s="2" t="s">
        <v>3304</v>
      </c>
      <c r="G41" s="2">
        <v>64321118714</v>
      </c>
      <c r="H41" s="2" t="s">
        <v>122</v>
      </c>
      <c r="I41" s="2" t="s">
        <v>123</v>
      </c>
      <c r="J41" s="3">
        <v>42037</v>
      </c>
      <c r="K41" s="2" t="s">
        <v>14</v>
      </c>
      <c r="L41" s="2" t="s">
        <v>1513</v>
      </c>
      <c r="M41" s="2" t="s">
        <v>1484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</row>
    <row r="42" spans="1:19" ht="26.25" x14ac:dyDescent="0.25">
      <c r="A42" s="2">
        <v>14507003</v>
      </c>
      <c r="B42" s="2" t="s">
        <v>10</v>
      </c>
      <c r="C42" s="2" t="s">
        <v>67</v>
      </c>
      <c r="D42" s="2" t="s">
        <v>67</v>
      </c>
      <c r="E42" s="2" t="s">
        <v>2716</v>
      </c>
      <c r="F42" s="2" t="s">
        <v>3305</v>
      </c>
      <c r="G42" s="2">
        <v>41968585826</v>
      </c>
      <c r="H42" s="2" t="s">
        <v>124</v>
      </c>
      <c r="I42" s="2" t="s">
        <v>125</v>
      </c>
      <c r="J42" s="3">
        <v>41824</v>
      </c>
      <c r="K42" s="2" t="s">
        <v>14</v>
      </c>
      <c r="L42" s="2" t="s">
        <v>1514</v>
      </c>
      <c r="M42" s="2" t="s">
        <v>1484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</row>
    <row r="43" spans="1:19" ht="39" x14ac:dyDescent="0.25">
      <c r="A43" s="2">
        <v>13543021</v>
      </c>
      <c r="B43" s="2" t="s">
        <v>10</v>
      </c>
      <c r="C43" s="2" t="s">
        <v>126</v>
      </c>
      <c r="D43" s="2" t="s">
        <v>126</v>
      </c>
      <c r="E43" s="2" t="s">
        <v>2717</v>
      </c>
      <c r="F43" s="2" t="s">
        <v>3306</v>
      </c>
      <c r="G43" s="2">
        <v>19222435132</v>
      </c>
      <c r="H43" s="2" t="s">
        <v>127</v>
      </c>
      <c r="I43" s="2" t="s">
        <v>128</v>
      </c>
      <c r="J43" s="3">
        <v>41653</v>
      </c>
      <c r="K43" s="2" t="s">
        <v>14</v>
      </c>
      <c r="L43" s="2" t="s">
        <v>1515</v>
      </c>
      <c r="M43" s="2" t="s">
        <v>1484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</row>
    <row r="44" spans="1:19" ht="51.75" x14ac:dyDescent="0.25">
      <c r="A44" s="2">
        <v>12523008</v>
      </c>
      <c r="B44" s="2" t="s">
        <v>10</v>
      </c>
      <c r="C44" s="2" t="s">
        <v>3119</v>
      </c>
      <c r="D44" s="2" t="s">
        <v>129</v>
      </c>
      <c r="E44" s="2" t="s">
        <v>2718</v>
      </c>
      <c r="F44" s="2" t="s">
        <v>3307</v>
      </c>
      <c r="G44" s="2">
        <v>57142111170</v>
      </c>
      <c r="H44" s="2" t="s">
        <v>130</v>
      </c>
      <c r="I44" s="2" t="s">
        <v>131</v>
      </c>
      <c r="J44" s="3">
        <v>41163</v>
      </c>
      <c r="K44" s="2" t="s">
        <v>14</v>
      </c>
      <c r="L44" s="2" t="s">
        <v>1516</v>
      </c>
      <c r="M44" s="2" t="s">
        <v>1486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ht="26.25" x14ac:dyDescent="0.25">
      <c r="A45" s="2">
        <v>14533013</v>
      </c>
      <c r="B45" s="2" t="s">
        <v>10</v>
      </c>
      <c r="C45" s="2" t="s">
        <v>32</v>
      </c>
      <c r="D45" s="2" t="s">
        <v>132</v>
      </c>
      <c r="E45" s="2" t="s">
        <v>133</v>
      </c>
      <c r="F45" s="2" t="s">
        <v>3308</v>
      </c>
      <c r="G45" s="2">
        <v>13393629208</v>
      </c>
      <c r="H45" s="2" t="s">
        <v>134</v>
      </c>
      <c r="I45" s="2" t="s">
        <v>135</v>
      </c>
      <c r="J45" s="3">
        <v>41879</v>
      </c>
      <c r="K45" s="2" t="s">
        <v>14</v>
      </c>
      <c r="L45" s="2" t="s">
        <v>1517</v>
      </c>
      <c r="M45" s="2" t="s">
        <v>1484</v>
      </c>
      <c r="N45" s="2">
        <v>0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</row>
    <row r="46" spans="1:19" ht="26.25" x14ac:dyDescent="0.25">
      <c r="A46" s="2">
        <v>16561008</v>
      </c>
      <c r="B46" s="2" t="s">
        <v>10</v>
      </c>
      <c r="C46" s="2" t="s">
        <v>32</v>
      </c>
      <c r="D46" s="2" t="s">
        <v>42</v>
      </c>
      <c r="E46" s="2" t="s">
        <v>136</v>
      </c>
      <c r="F46" s="2" t="s">
        <v>3309</v>
      </c>
      <c r="G46" s="2">
        <v>16513929028</v>
      </c>
      <c r="H46" s="2" t="s">
        <v>137</v>
      </c>
      <c r="I46" s="2" t="s">
        <v>138</v>
      </c>
      <c r="J46" s="3">
        <v>42586</v>
      </c>
      <c r="K46" s="2" t="s">
        <v>14</v>
      </c>
      <c r="L46" s="2" t="s">
        <v>3160</v>
      </c>
      <c r="M46" s="2" t="s">
        <v>1484</v>
      </c>
      <c r="N46" s="2">
        <v>0</v>
      </c>
      <c r="O46" s="2">
        <v>0</v>
      </c>
      <c r="P46" s="2">
        <v>0</v>
      </c>
      <c r="Q46" s="2">
        <v>0</v>
      </c>
      <c r="R46" s="2">
        <v>1</v>
      </c>
      <c r="S46" s="2">
        <v>0</v>
      </c>
    </row>
    <row r="47" spans="1:19" ht="39" x14ac:dyDescent="0.25">
      <c r="A47" s="2">
        <v>16520006</v>
      </c>
      <c r="B47" s="2" t="s">
        <v>10</v>
      </c>
      <c r="C47" s="2" t="s">
        <v>3118</v>
      </c>
      <c r="D47" s="2" t="s">
        <v>3118</v>
      </c>
      <c r="E47" s="2" t="s">
        <v>2719</v>
      </c>
      <c r="F47" s="2" t="s">
        <v>3310</v>
      </c>
      <c r="G47" s="2">
        <v>27373975216</v>
      </c>
      <c r="H47" s="2" t="s">
        <v>139</v>
      </c>
      <c r="I47" s="2" t="s">
        <v>140</v>
      </c>
      <c r="J47" s="3">
        <v>42583</v>
      </c>
      <c r="K47" s="2" t="s">
        <v>14</v>
      </c>
      <c r="L47" s="2" t="s">
        <v>3161</v>
      </c>
      <c r="M47" s="2" t="s">
        <v>1484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</row>
    <row r="48" spans="1:19" ht="39" x14ac:dyDescent="0.25">
      <c r="A48" s="2">
        <v>15529002</v>
      </c>
      <c r="B48" s="2" t="s">
        <v>10</v>
      </c>
      <c r="C48" s="2" t="s">
        <v>32</v>
      </c>
      <c r="D48" s="2" t="s">
        <v>141</v>
      </c>
      <c r="E48" s="2" t="s">
        <v>2720</v>
      </c>
      <c r="F48" s="2" t="s">
        <v>3311</v>
      </c>
      <c r="G48" s="2">
        <v>55582266504</v>
      </c>
      <c r="H48" s="2" t="s">
        <v>142</v>
      </c>
      <c r="I48" s="2" t="s">
        <v>143</v>
      </c>
      <c r="J48" s="3">
        <v>42181</v>
      </c>
      <c r="K48" s="2" t="s">
        <v>14</v>
      </c>
      <c r="L48" s="2" t="s">
        <v>3162</v>
      </c>
      <c r="M48" s="2" t="s">
        <v>1484</v>
      </c>
      <c r="N48" s="2">
        <v>0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</row>
    <row r="49" spans="1:19" ht="26.25" x14ac:dyDescent="0.25">
      <c r="A49" s="2">
        <v>13549045</v>
      </c>
      <c r="B49" s="2" t="s">
        <v>10</v>
      </c>
      <c r="C49" s="2" t="s">
        <v>3117</v>
      </c>
      <c r="D49" s="2" t="s">
        <v>11</v>
      </c>
      <c r="E49" s="2" t="s">
        <v>144</v>
      </c>
      <c r="F49" s="2" t="s">
        <v>3312</v>
      </c>
      <c r="G49" s="2">
        <v>49315408712</v>
      </c>
      <c r="H49" s="2" t="s">
        <v>145</v>
      </c>
      <c r="I49" s="2" t="s">
        <v>146</v>
      </c>
      <c r="J49" s="3">
        <v>41682</v>
      </c>
      <c r="K49" s="2" t="s">
        <v>14</v>
      </c>
      <c r="L49" s="2" t="s">
        <v>3163</v>
      </c>
      <c r="M49" s="2" t="s">
        <v>1484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</row>
    <row r="50" spans="1:19" ht="26.25" x14ac:dyDescent="0.25">
      <c r="A50" s="2">
        <v>15543027</v>
      </c>
      <c r="B50" s="2" t="s">
        <v>10</v>
      </c>
      <c r="C50" s="2" t="s">
        <v>126</v>
      </c>
      <c r="D50" s="2" t="s">
        <v>126</v>
      </c>
      <c r="E50" s="2" t="s">
        <v>147</v>
      </c>
      <c r="F50" s="2" t="s">
        <v>3313</v>
      </c>
      <c r="G50" s="2">
        <v>59299094658</v>
      </c>
      <c r="H50" s="2" t="s">
        <v>148</v>
      </c>
      <c r="I50" s="2" t="s">
        <v>149</v>
      </c>
      <c r="J50" s="3">
        <v>42390</v>
      </c>
      <c r="K50" s="2" t="s">
        <v>14</v>
      </c>
      <c r="L50" s="2" t="s">
        <v>1515</v>
      </c>
      <c r="M50" s="2" t="s">
        <v>1484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</row>
    <row r="51" spans="1:19" ht="26.25" x14ac:dyDescent="0.25">
      <c r="A51" s="2">
        <v>15510004</v>
      </c>
      <c r="B51" s="2" t="s">
        <v>10</v>
      </c>
      <c r="C51" s="2" t="s">
        <v>3128</v>
      </c>
      <c r="D51" s="2" t="s">
        <v>150</v>
      </c>
      <c r="E51" s="2" t="s">
        <v>151</v>
      </c>
      <c r="F51" s="2" t="s">
        <v>3314</v>
      </c>
      <c r="G51" s="2">
        <v>15427602850</v>
      </c>
      <c r="H51" s="2" t="s">
        <v>152</v>
      </c>
      <c r="I51" s="2" t="s">
        <v>153</v>
      </c>
      <c r="J51" s="3">
        <v>42389</v>
      </c>
      <c r="K51" s="2" t="s">
        <v>14</v>
      </c>
      <c r="L51" s="2" t="s">
        <v>1518</v>
      </c>
      <c r="M51" s="2" t="s">
        <v>1484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</row>
    <row r="52" spans="1:19" ht="26.25" x14ac:dyDescent="0.25">
      <c r="A52" s="2">
        <v>14568026</v>
      </c>
      <c r="B52" s="2" t="s">
        <v>10</v>
      </c>
      <c r="C52" s="2" t="s">
        <v>3125</v>
      </c>
      <c r="D52" s="2" t="s">
        <v>3125</v>
      </c>
      <c r="E52" s="2" t="s">
        <v>2721</v>
      </c>
      <c r="F52" s="2" t="s">
        <v>3315</v>
      </c>
      <c r="G52" s="2">
        <v>19834914414</v>
      </c>
      <c r="H52" s="2" t="s">
        <v>154</v>
      </c>
      <c r="I52" s="2" t="s">
        <v>155</v>
      </c>
      <c r="J52" s="3">
        <v>41886</v>
      </c>
      <c r="K52" s="2" t="s">
        <v>14</v>
      </c>
      <c r="L52" s="2" t="s">
        <v>1519</v>
      </c>
      <c r="M52" s="2" t="s">
        <v>1484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</row>
    <row r="53" spans="1:19" ht="26.25" x14ac:dyDescent="0.25">
      <c r="A53" s="2">
        <v>15533010</v>
      </c>
      <c r="B53" s="2" t="s">
        <v>10</v>
      </c>
      <c r="C53" s="2" t="s">
        <v>32</v>
      </c>
      <c r="D53" s="2" t="s">
        <v>132</v>
      </c>
      <c r="E53" s="2" t="s">
        <v>2722</v>
      </c>
      <c r="F53" s="2" t="s">
        <v>3316</v>
      </c>
      <c r="G53" s="2">
        <v>14567103210</v>
      </c>
      <c r="H53" s="2" t="s">
        <v>156</v>
      </c>
      <c r="I53" s="2" t="s">
        <v>157</v>
      </c>
      <c r="J53" s="3">
        <v>42188</v>
      </c>
      <c r="K53" s="2" t="s">
        <v>158</v>
      </c>
      <c r="L53" s="2" t="s">
        <v>3164</v>
      </c>
      <c r="M53" s="2" t="s">
        <v>1484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</row>
    <row r="54" spans="1:19" ht="26.25" x14ac:dyDescent="0.25">
      <c r="A54" s="2">
        <v>17510004</v>
      </c>
      <c r="B54" s="2" t="s">
        <v>10</v>
      </c>
      <c r="C54" s="2" t="s">
        <v>3128</v>
      </c>
      <c r="D54" s="2" t="s">
        <v>150</v>
      </c>
      <c r="E54" s="2" t="s">
        <v>159</v>
      </c>
      <c r="F54" s="2" t="s">
        <v>3317</v>
      </c>
      <c r="G54" s="2">
        <v>41728405944</v>
      </c>
      <c r="H54" s="2" t="s">
        <v>160</v>
      </c>
      <c r="I54" s="2" t="s">
        <v>161</v>
      </c>
      <c r="J54" s="3">
        <v>42923</v>
      </c>
      <c r="K54" s="2" t="s">
        <v>14</v>
      </c>
      <c r="L54" s="2" t="s">
        <v>1520</v>
      </c>
      <c r="M54" s="2" t="s">
        <v>1484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</row>
    <row r="55" spans="1:19" ht="39" x14ac:dyDescent="0.25">
      <c r="A55" s="2">
        <v>13508017</v>
      </c>
      <c r="B55" s="2" t="s">
        <v>10</v>
      </c>
      <c r="C55" s="2" t="s">
        <v>3142</v>
      </c>
      <c r="D55" s="2" t="s">
        <v>3142</v>
      </c>
      <c r="E55" s="2" t="s">
        <v>162</v>
      </c>
      <c r="F55" s="2" t="s">
        <v>3318</v>
      </c>
      <c r="G55" s="2">
        <v>22553293012</v>
      </c>
      <c r="H55" s="2" t="s">
        <v>163</v>
      </c>
      <c r="I55" s="2" t="s">
        <v>164</v>
      </c>
      <c r="J55" s="3">
        <v>41648</v>
      </c>
      <c r="K55" s="2" t="s">
        <v>14</v>
      </c>
      <c r="L55" s="2" t="s">
        <v>3165</v>
      </c>
      <c r="M55" s="2" t="s">
        <v>1484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</row>
    <row r="56" spans="1:19" ht="26.25" x14ac:dyDescent="0.25">
      <c r="A56" s="2">
        <v>8506010</v>
      </c>
      <c r="B56" s="2" t="s">
        <v>10</v>
      </c>
      <c r="C56" s="2" t="s">
        <v>3122</v>
      </c>
      <c r="D56" s="2" t="s">
        <v>3122</v>
      </c>
      <c r="E56" s="2" t="s">
        <v>2723</v>
      </c>
      <c r="F56" s="2" t="s">
        <v>3319</v>
      </c>
      <c r="G56" s="2">
        <v>47275378564</v>
      </c>
      <c r="H56" s="2" t="s">
        <v>165</v>
      </c>
      <c r="I56" s="2" t="s">
        <v>166</v>
      </c>
      <c r="J56" s="3">
        <v>39713</v>
      </c>
      <c r="K56" s="2" t="s">
        <v>14</v>
      </c>
      <c r="L56" s="2" t="s">
        <v>1521</v>
      </c>
      <c r="M56" s="2" t="s">
        <v>1486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ht="26.25" x14ac:dyDescent="0.25">
      <c r="A57" s="2">
        <v>15516001</v>
      </c>
      <c r="B57" s="2" t="s">
        <v>10</v>
      </c>
      <c r="C57" s="2" t="s">
        <v>167</v>
      </c>
      <c r="D57" s="2" t="s">
        <v>168</v>
      </c>
      <c r="E57" s="2" t="s">
        <v>2724</v>
      </c>
      <c r="F57" s="2" t="s">
        <v>3320</v>
      </c>
      <c r="G57" s="2">
        <v>45814388012</v>
      </c>
      <c r="H57" s="2" t="s">
        <v>169</v>
      </c>
      <c r="I57" s="2" t="s">
        <v>170</v>
      </c>
      <c r="J57" s="3">
        <v>42181</v>
      </c>
      <c r="K57" s="2" t="s">
        <v>14</v>
      </c>
      <c r="L57" s="2" t="s">
        <v>1522</v>
      </c>
      <c r="M57" s="2" t="s">
        <v>1484</v>
      </c>
      <c r="N57" s="2">
        <v>0</v>
      </c>
      <c r="O57" s="2">
        <v>0</v>
      </c>
      <c r="P57" s="2">
        <v>0</v>
      </c>
      <c r="Q57" s="2">
        <v>0</v>
      </c>
      <c r="R57" s="2">
        <v>1</v>
      </c>
      <c r="S57" s="2">
        <v>0</v>
      </c>
    </row>
    <row r="58" spans="1:19" ht="39" x14ac:dyDescent="0.25">
      <c r="A58" s="2">
        <v>16512001</v>
      </c>
      <c r="B58" s="2" t="s">
        <v>10</v>
      </c>
      <c r="C58" s="2" t="s">
        <v>3128</v>
      </c>
      <c r="D58" s="2" t="s">
        <v>171</v>
      </c>
      <c r="E58" s="2" t="s">
        <v>2725</v>
      </c>
      <c r="F58" s="2" t="s">
        <v>3321</v>
      </c>
      <c r="G58" s="2">
        <v>46279923978</v>
      </c>
      <c r="H58" s="2" t="s">
        <v>172</v>
      </c>
      <c r="I58" s="2" t="s">
        <v>173</v>
      </c>
      <c r="J58" s="3">
        <v>42583</v>
      </c>
      <c r="K58" s="2" t="s">
        <v>14</v>
      </c>
      <c r="L58" s="2" t="s">
        <v>3166</v>
      </c>
      <c r="M58" s="2" t="s">
        <v>1484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0</v>
      </c>
    </row>
    <row r="59" spans="1:19" ht="39" x14ac:dyDescent="0.25">
      <c r="A59" s="2">
        <v>15523018</v>
      </c>
      <c r="B59" s="2" t="s">
        <v>10</v>
      </c>
      <c r="C59" s="2" t="s">
        <v>3119</v>
      </c>
      <c r="D59" s="2" t="s">
        <v>129</v>
      </c>
      <c r="E59" s="2" t="s">
        <v>2726</v>
      </c>
      <c r="F59" s="2" t="s">
        <v>3322</v>
      </c>
      <c r="G59" s="2">
        <v>34954509548</v>
      </c>
      <c r="H59" s="2" t="s">
        <v>174</v>
      </c>
      <c r="I59" s="2" t="s">
        <v>175</v>
      </c>
      <c r="J59" s="3">
        <v>42390</v>
      </c>
      <c r="K59" s="2" t="s">
        <v>14</v>
      </c>
      <c r="L59" s="2" t="s">
        <v>1523</v>
      </c>
      <c r="M59" s="2" t="s">
        <v>1484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</row>
    <row r="60" spans="1:19" ht="51.75" x14ac:dyDescent="0.25">
      <c r="A60" s="2">
        <v>15549018</v>
      </c>
      <c r="B60" s="2" t="s">
        <v>10</v>
      </c>
      <c r="C60" s="2" t="s">
        <v>3117</v>
      </c>
      <c r="D60" s="2" t="s">
        <v>11</v>
      </c>
      <c r="E60" s="2" t="s">
        <v>2727</v>
      </c>
      <c r="F60" s="2" t="s">
        <v>3323</v>
      </c>
      <c r="G60" s="2">
        <v>35275853266</v>
      </c>
      <c r="H60" s="2" t="s">
        <v>176</v>
      </c>
      <c r="I60" s="2" t="s">
        <v>177</v>
      </c>
      <c r="J60" s="3">
        <v>42191</v>
      </c>
      <c r="K60" s="2" t="s">
        <v>14</v>
      </c>
      <c r="L60" s="2" t="s">
        <v>3167</v>
      </c>
      <c r="M60" s="2" t="s">
        <v>1484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</row>
    <row r="61" spans="1:19" ht="39" x14ac:dyDescent="0.25">
      <c r="A61" s="2">
        <v>15550024</v>
      </c>
      <c r="B61" s="2" t="s">
        <v>10</v>
      </c>
      <c r="C61" s="2" t="s">
        <v>3120</v>
      </c>
      <c r="D61" s="2" t="s">
        <v>22</v>
      </c>
      <c r="E61" s="2" t="s">
        <v>178</v>
      </c>
      <c r="F61" s="2" t="s">
        <v>3324</v>
      </c>
      <c r="G61" s="2">
        <v>29281393366</v>
      </c>
      <c r="H61" s="2" t="s">
        <v>179</v>
      </c>
      <c r="I61" s="2" t="s">
        <v>180</v>
      </c>
      <c r="J61" s="3">
        <v>42394</v>
      </c>
      <c r="K61" s="2" t="s">
        <v>14</v>
      </c>
      <c r="L61" s="2" t="s">
        <v>1524</v>
      </c>
      <c r="M61" s="2" t="s">
        <v>1484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</row>
    <row r="62" spans="1:19" ht="39" x14ac:dyDescent="0.25">
      <c r="A62" s="2">
        <v>14571005</v>
      </c>
      <c r="B62" s="2" t="s">
        <v>10</v>
      </c>
      <c r="C62" s="2" t="s">
        <v>3144</v>
      </c>
      <c r="D62" s="2" t="s">
        <v>28</v>
      </c>
      <c r="E62" s="2" t="s">
        <v>2728</v>
      </c>
      <c r="F62" s="2" t="s">
        <v>3325</v>
      </c>
      <c r="G62" s="2">
        <v>46642963594</v>
      </c>
      <c r="H62" s="2" t="s">
        <v>181</v>
      </c>
      <c r="I62" s="2" t="s">
        <v>182</v>
      </c>
      <c r="J62" s="3">
        <v>42013</v>
      </c>
      <c r="K62" s="2" t="s">
        <v>14</v>
      </c>
      <c r="L62" s="2" t="s">
        <v>1525</v>
      </c>
      <c r="M62" s="2" t="s">
        <v>1484</v>
      </c>
      <c r="N62" s="2">
        <v>0</v>
      </c>
      <c r="O62" s="2">
        <v>0</v>
      </c>
      <c r="P62" s="2">
        <v>1</v>
      </c>
      <c r="Q62" s="2">
        <v>0</v>
      </c>
      <c r="R62" s="2">
        <v>0</v>
      </c>
      <c r="S62" s="2">
        <v>0</v>
      </c>
    </row>
    <row r="63" spans="1:19" ht="26.25" x14ac:dyDescent="0.25">
      <c r="A63" s="2">
        <v>10505022</v>
      </c>
      <c r="B63" s="2" t="s">
        <v>10</v>
      </c>
      <c r="C63" s="2" t="s">
        <v>3123</v>
      </c>
      <c r="D63" s="2" t="s">
        <v>70</v>
      </c>
      <c r="E63" s="2" t="s">
        <v>2729</v>
      </c>
      <c r="F63" s="2" t="s">
        <v>3326</v>
      </c>
      <c r="G63" s="2">
        <v>61687339968</v>
      </c>
      <c r="H63" s="2" t="s">
        <v>183</v>
      </c>
      <c r="I63" s="2" t="s">
        <v>184</v>
      </c>
      <c r="J63" s="3">
        <v>40438</v>
      </c>
      <c r="K63" s="2" t="s">
        <v>14</v>
      </c>
      <c r="L63" s="2" t="s">
        <v>1526</v>
      </c>
      <c r="M63" s="2" t="s">
        <v>1486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ht="64.5" x14ac:dyDescent="0.25">
      <c r="A64" s="2">
        <v>16542028</v>
      </c>
      <c r="B64" s="2" t="s">
        <v>10</v>
      </c>
      <c r="C64" s="2" t="s">
        <v>185</v>
      </c>
      <c r="D64" s="2" t="s">
        <v>185</v>
      </c>
      <c r="E64" s="2" t="s">
        <v>2730</v>
      </c>
      <c r="F64" s="2" t="s">
        <v>3327</v>
      </c>
      <c r="G64" s="2">
        <v>20297105028</v>
      </c>
      <c r="H64" s="2" t="s">
        <v>186</v>
      </c>
      <c r="I64" s="2" t="s">
        <v>187</v>
      </c>
      <c r="J64" s="3">
        <v>42759</v>
      </c>
      <c r="K64" s="2" t="s">
        <v>158</v>
      </c>
      <c r="L64" s="2" t="s">
        <v>3168</v>
      </c>
      <c r="M64" s="2" t="s">
        <v>1484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</row>
    <row r="65" spans="1:19" ht="26.25" x14ac:dyDescent="0.25">
      <c r="A65" s="2">
        <v>12525306</v>
      </c>
      <c r="B65" s="2" t="s">
        <v>66</v>
      </c>
      <c r="C65" s="2" t="s">
        <v>105</v>
      </c>
      <c r="D65" s="2" t="s">
        <v>105</v>
      </c>
      <c r="E65" s="2" t="s">
        <v>2731</v>
      </c>
      <c r="F65" s="2" t="s">
        <v>3328</v>
      </c>
      <c r="G65" s="2">
        <v>15908586372</v>
      </c>
      <c r="H65" s="2" t="s">
        <v>188</v>
      </c>
      <c r="I65" s="2" t="s">
        <v>189</v>
      </c>
      <c r="J65" s="3">
        <v>41324</v>
      </c>
      <c r="K65" s="2" t="s">
        <v>14</v>
      </c>
      <c r="L65" s="2" t="s">
        <v>1527</v>
      </c>
      <c r="M65" s="2" t="s">
        <v>1484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</row>
    <row r="66" spans="1:19" ht="39" x14ac:dyDescent="0.25">
      <c r="A66" s="2">
        <v>15505040</v>
      </c>
      <c r="B66" s="2" t="s">
        <v>10</v>
      </c>
      <c r="C66" s="2" t="s">
        <v>3123</v>
      </c>
      <c r="D66" s="2" t="s">
        <v>190</v>
      </c>
      <c r="E66" s="2" t="s">
        <v>2732</v>
      </c>
      <c r="F66" s="2" t="s">
        <v>3329</v>
      </c>
      <c r="G66" s="2">
        <v>99761315416</v>
      </c>
      <c r="H66" s="2" t="s">
        <v>191</v>
      </c>
      <c r="I66" s="2" t="s">
        <v>192</v>
      </c>
      <c r="J66" s="3">
        <v>42279</v>
      </c>
      <c r="K66" s="2" t="s">
        <v>14</v>
      </c>
      <c r="L66" s="2" t="s">
        <v>1528</v>
      </c>
      <c r="M66" s="2" t="s">
        <v>1484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</row>
    <row r="67" spans="1:19" ht="26.25" x14ac:dyDescent="0.25">
      <c r="A67" s="2">
        <v>16552014</v>
      </c>
      <c r="B67" s="2" t="s">
        <v>10</v>
      </c>
      <c r="C67" s="2" t="s">
        <v>3119</v>
      </c>
      <c r="D67" s="2" t="s">
        <v>19</v>
      </c>
      <c r="E67" s="2" t="s">
        <v>193</v>
      </c>
      <c r="F67" s="2" t="s">
        <v>3330</v>
      </c>
      <c r="G67" s="2">
        <v>31385343796</v>
      </c>
      <c r="H67" s="2" t="s">
        <v>194</v>
      </c>
      <c r="I67" s="2" t="s">
        <v>195</v>
      </c>
      <c r="J67" s="3">
        <v>42614</v>
      </c>
      <c r="K67" s="2" t="s">
        <v>14</v>
      </c>
      <c r="L67" s="2" t="s">
        <v>1529</v>
      </c>
      <c r="M67" s="2" t="s">
        <v>1484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</row>
    <row r="68" spans="1:19" ht="26.25" x14ac:dyDescent="0.25">
      <c r="A68" s="2">
        <v>10534005</v>
      </c>
      <c r="B68" s="2" t="s">
        <v>10</v>
      </c>
      <c r="C68" s="2" t="s">
        <v>32</v>
      </c>
      <c r="D68" s="2" t="s">
        <v>196</v>
      </c>
      <c r="E68" s="2" t="s">
        <v>2733</v>
      </c>
      <c r="F68" s="2" t="s">
        <v>3331</v>
      </c>
      <c r="G68" s="2">
        <v>29492479668</v>
      </c>
      <c r="H68" s="2" t="s">
        <v>197</v>
      </c>
      <c r="I68" s="2" t="s">
        <v>198</v>
      </c>
      <c r="J68" s="3">
        <v>40443</v>
      </c>
      <c r="K68" s="2" t="s">
        <v>36</v>
      </c>
      <c r="L68" s="2" t="s">
        <v>1530</v>
      </c>
      <c r="M68" s="2" t="s">
        <v>1486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ht="26.25" x14ac:dyDescent="0.25">
      <c r="A69" s="2">
        <v>15555015</v>
      </c>
      <c r="B69" s="2" t="s">
        <v>10</v>
      </c>
      <c r="C69" s="2" t="s">
        <v>3117</v>
      </c>
      <c r="D69" s="2" t="s">
        <v>3147</v>
      </c>
      <c r="E69" s="2" t="s">
        <v>2734</v>
      </c>
      <c r="F69" s="2" t="s">
        <v>3332</v>
      </c>
      <c r="G69" s="2">
        <v>28528063598</v>
      </c>
      <c r="H69" s="2" t="s">
        <v>199</v>
      </c>
      <c r="I69" s="2" t="s">
        <v>200</v>
      </c>
      <c r="J69" s="3">
        <v>42247</v>
      </c>
      <c r="K69" s="2" t="s">
        <v>14</v>
      </c>
      <c r="L69" s="2" t="s">
        <v>3169</v>
      </c>
      <c r="M69" s="2" t="s">
        <v>1484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</row>
    <row r="70" spans="1:19" ht="64.5" x14ac:dyDescent="0.25">
      <c r="A70" s="2" t="s">
        <v>201</v>
      </c>
      <c r="B70" s="2" t="s">
        <v>10</v>
      </c>
      <c r="C70" s="2" t="s">
        <v>67</v>
      </c>
      <c r="D70" s="2" t="s">
        <v>67</v>
      </c>
      <c r="E70" s="2" t="s">
        <v>2735</v>
      </c>
      <c r="F70" s="2" t="s">
        <v>3333</v>
      </c>
      <c r="G70" s="2">
        <v>10675401644</v>
      </c>
      <c r="H70" s="2" t="s">
        <v>202</v>
      </c>
      <c r="I70" s="2" t="s">
        <v>203</v>
      </c>
      <c r="J70" s="3">
        <v>42394</v>
      </c>
      <c r="K70" s="2" t="s">
        <v>14</v>
      </c>
      <c r="L70" s="2" t="s">
        <v>1531</v>
      </c>
      <c r="M70" s="2" t="s">
        <v>1484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0</v>
      </c>
    </row>
    <row r="71" spans="1:19" ht="26.25" x14ac:dyDescent="0.25">
      <c r="A71" s="2">
        <v>16508012</v>
      </c>
      <c r="B71" s="2" t="s">
        <v>10</v>
      </c>
      <c r="C71" s="2" t="s">
        <v>3142</v>
      </c>
      <c r="D71" s="2" t="s">
        <v>3142</v>
      </c>
      <c r="E71" s="2" t="s">
        <v>2736</v>
      </c>
      <c r="F71" s="2" t="s">
        <v>3334</v>
      </c>
      <c r="G71" s="2">
        <v>26560019368</v>
      </c>
      <c r="H71" s="2" t="s">
        <v>204</v>
      </c>
      <c r="I71" s="2" t="s">
        <v>205</v>
      </c>
      <c r="J71" s="3">
        <v>42585</v>
      </c>
      <c r="K71" s="2" t="s">
        <v>14</v>
      </c>
      <c r="L71" s="2" t="s">
        <v>3165</v>
      </c>
      <c r="M71" s="2" t="s">
        <v>1484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</row>
    <row r="72" spans="1:19" ht="39" x14ac:dyDescent="0.25">
      <c r="A72" s="2">
        <v>10501205</v>
      </c>
      <c r="B72" s="2" t="s">
        <v>66</v>
      </c>
      <c r="C72" s="2" t="s">
        <v>3130</v>
      </c>
      <c r="D72" s="2" t="s">
        <v>3130</v>
      </c>
      <c r="E72" s="2" t="s">
        <v>206</v>
      </c>
      <c r="F72" s="2" t="s">
        <v>3335</v>
      </c>
      <c r="G72" s="2">
        <v>18964955298</v>
      </c>
      <c r="H72" s="2" t="s">
        <v>207</v>
      </c>
      <c r="I72" s="2" t="s">
        <v>208</v>
      </c>
      <c r="J72" s="3">
        <v>40445</v>
      </c>
      <c r="K72" s="2" t="s">
        <v>14</v>
      </c>
      <c r="L72" s="2" t="s">
        <v>1532</v>
      </c>
      <c r="M72" s="2" t="s">
        <v>1484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2">
        <v>0</v>
      </c>
    </row>
    <row r="73" spans="1:19" ht="51.75" x14ac:dyDescent="0.25">
      <c r="A73" s="2">
        <v>14557004</v>
      </c>
      <c r="B73" s="2" t="s">
        <v>10</v>
      </c>
      <c r="C73" s="2" t="s">
        <v>209</v>
      </c>
      <c r="D73" s="2" t="s">
        <v>210</v>
      </c>
      <c r="E73" s="2" t="s">
        <v>211</v>
      </c>
      <c r="F73" s="2" t="s">
        <v>3336</v>
      </c>
      <c r="G73" s="2">
        <v>39545147918</v>
      </c>
      <c r="H73" s="2" t="s">
        <v>212</v>
      </c>
      <c r="I73" s="2" t="s">
        <v>213</v>
      </c>
      <c r="J73" s="3">
        <v>41828</v>
      </c>
      <c r="K73" s="2" t="s">
        <v>158</v>
      </c>
      <c r="L73" s="2" t="s">
        <v>3170</v>
      </c>
      <c r="M73" s="2" t="s">
        <v>1484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</row>
    <row r="74" spans="1:19" ht="39" x14ac:dyDescent="0.25">
      <c r="A74" s="2">
        <v>13533007</v>
      </c>
      <c r="B74" s="2" t="s">
        <v>10</v>
      </c>
      <c r="C74" s="2" t="s">
        <v>32</v>
      </c>
      <c r="D74" s="2" t="s">
        <v>132</v>
      </c>
      <c r="E74" s="2" t="s">
        <v>2737</v>
      </c>
      <c r="F74" s="2" t="s">
        <v>3337</v>
      </c>
      <c r="G74" s="2">
        <v>21709188196</v>
      </c>
      <c r="H74" s="2" t="s">
        <v>214</v>
      </c>
      <c r="I74" s="2" t="s">
        <v>215</v>
      </c>
      <c r="J74" s="3">
        <v>41459</v>
      </c>
      <c r="K74" s="2" t="s">
        <v>14</v>
      </c>
      <c r="L74" s="2" t="s">
        <v>3164</v>
      </c>
      <c r="M74" s="2" t="s">
        <v>1484</v>
      </c>
      <c r="N74" s="2">
        <v>0</v>
      </c>
      <c r="O74" s="2">
        <v>0</v>
      </c>
      <c r="P74" s="2">
        <v>0</v>
      </c>
      <c r="Q74" s="2">
        <v>0</v>
      </c>
      <c r="R74" s="2">
        <v>1</v>
      </c>
      <c r="S74" s="2">
        <v>0</v>
      </c>
    </row>
    <row r="75" spans="1:19" ht="26.25" x14ac:dyDescent="0.25">
      <c r="A75" s="2">
        <v>15523020</v>
      </c>
      <c r="B75" s="2" t="s">
        <v>10</v>
      </c>
      <c r="C75" s="2" t="s">
        <v>3119</v>
      </c>
      <c r="D75" s="2" t="s">
        <v>129</v>
      </c>
      <c r="E75" s="2" t="s">
        <v>216</v>
      </c>
      <c r="F75" s="2" t="s">
        <v>3338</v>
      </c>
      <c r="G75" s="2">
        <v>35737056006</v>
      </c>
      <c r="H75" s="2" t="s">
        <v>217</v>
      </c>
      <c r="I75" s="2" t="s">
        <v>218</v>
      </c>
      <c r="J75" s="3">
        <v>42391</v>
      </c>
      <c r="K75" s="2" t="s">
        <v>14</v>
      </c>
      <c r="L75" s="2" t="s">
        <v>1533</v>
      </c>
      <c r="M75" s="2" t="s">
        <v>1484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0</v>
      </c>
    </row>
    <row r="76" spans="1:19" ht="26.25" x14ac:dyDescent="0.25">
      <c r="A76" s="2">
        <v>14535009</v>
      </c>
      <c r="B76" s="2" t="s">
        <v>10</v>
      </c>
      <c r="C76" s="2" t="s">
        <v>32</v>
      </c>
      <c r="D76" s="2" t="s">
        <v>45</v>
      </c>
      <c r="E76" s="2" t="s">
        <v>219</v>
      </c>
      <c r="F76" s="2" t="s">
        <v>3339</v>
      </c>
      <c r="G76" s="2">
        <v>57676084834</v>
      </c>
      <c r="H76" s="2" t="s">
        <v>220</v>
      </c>
      <c r="I76" s="2" t="s">
        <v>221</v>
      </c>
      <c r="J76" s="3">
        <v>41879</v>
      </c>
      <c r="K76" s="2" t="s">
        <v>14</v>
      </c>
      <c r="L76" s="2" t="s">
        <v>1534</v>
      </c>
      <c r="M76" s="2" t="s">
        <v>1484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</row>
    <row r="77" spans="1:19" ht="26.25" x14ac:dyDescent="0.25">
      <c r="A77" s="2">
        <v>15532006</v>
      </c>
      <c r="B77" s="2" t="s">
        <v>10</v>
      </c>
      <c r="C77" s="2" t="s">
        <v>32</v>
      </c>
      <c r="D77" s="2" t="s">
        <v>33</v>
      </c>
      <c r="E77" s="2" t="s">
        <v>2738</v>
      </c>
      <c r="F77" s="2" t="s">
        <v>3340</v>
      </c>
      <c r="G77" s="2">
        <v>60748042168</v>
      </c>
      <c r="H77" s="2" t="s">
        <v>222</v>
      </c>
      <c r="I77" s="2" t="s">
        <v>223</v>
      </c>
      <c r="J77" s="3">
        <v>42187</v>
      </c>
      <c r="K77" s="2" t="s">
        <v>158</v>
      </c>
      <c r="L77" s="2" t="s">
        <v>1535</v>
      </c>
      <c r="M77" s="2" t="s">
        <v>1484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</row>
    <row r="78" spans="1:19" ht="51.75" x14ac:dyDescent="0.25">
      <c r="A78" s="2">
        <v>14546008</v>
      </c>
      <c r="B78" s="2" t="s">
        <v>10</v>
      </c>
      <c r="C78" s="2" t="s">
        <v>3122</v>
      </c>
      <c r="D78" s="2" t="s">
        <v>3131</v>
      </c>
      <c r="E78" s="2" t="s">
        <v>224</v>
      </c>
      <c r="F78" s="2" t="s">
        <v>3341</v>
      </c>
      <c r="G78" s="2">
        <v>35200070546</v>
      </c>
      <c r="H78" s="2" t="s">
        <v>225</v>
      </c>
      <c r="I78" s="2" t="s">
        <v>226</v>
      </c>
      <c r="J78" s="3">
        <v>41886</v>
      </c>
      <c r="K78" s="2" t="s">
        <v>14</v>
      </c>
      <c r="L78" s="2" t="s">
        <v>1536</v>
      </c>
      <c r="M78" s="2" t="s">
        <v>1484</v>
      </c>
      <c r="N78" s="2">
        <v>0</v>
      </c>
      <c r="O78" s="2">
        <v>0</v>
      </c>
      <c r="P78" s="2">
        <v>0</v>
      </c>
      <c r="Q78" s="2">
        <v>0</v>
      </c>
      <c r="R78" s="2">
        <v>1</v>
      </c>
      <c r="S78" s="2">
        <v>0</v>
      </c>
    </row>
    <row r="79" spans="1:19" ht="39" x14ac:dyDescent="0.25">
      <c r="A79" s="2">
        <v>13527003</v>
      </c>
      <c r="B79" s="2" t="s">
        <v>10</v>
      </c>
      <c r="C79" s="2" t="s">
        <v>3124</v>
      </c>
      <c r="D79" s="2" t="s">
        <v>63</v>
      </c>
      <c r="E79" s="2" t="s">
        <v>2739</v>
      </c>
      <c r="F79" s="2" t="s">
        <v>3342</v>
      </c>
      <c r="G79" s="2">
        <v>40514158828</v>
      </c>
      <c r="H79" s="2" t="s">
        <v>227</v>
      </c>
      <c r="I79" s="2" t="s">
        <v>228</v>
      </c>
      <c r="J79" s="3">
        <v>41463</v>
      </c>
      <c r="K79" s="2" t="s">
        <v>14</v>
      </c>
      <c r="L79" s="2" t="s">
        <v>1537</v>
      </c>
      <c r="M79" s="2" t="s">
        <v>1484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</row>
    <row r="80" spans="1:19" ht="26.25" x14ac:dyDescent="0.25">
      <c r="A80" s="2">
        <v>9521007</v>
      </c>
      <c r="B80" s="2" t="s">
        <v>10</v>
      </c>
      <c r="C80" s="2" t="s">
        <v>3119</v>
      </c>
      <c r="D80" s="2" t="s">
        <v>229</v>
      </c>
      <c r="E80" s="2" t="s">
        <v>2740</v>
      </c>
      <c r="F80" s="2" t="s">
        <v>3343</v>
      </c>
      <c r="G80" s="2">
        <v>24230436576</v>
      </c>
      <c r="H80" s="2" t="s">
        <v>230</v>
      </c>
      <c r="I80" s="2" t="s">
        <v>231</v>
      </c>
      <c r="J80" s="3">
        <v>40071</v>
      </c>
      <c r="K80" s="2" t="s">
        <v>14</v>
      </c>
      <c r="L80" s="2" t="s">
        <v>1538</v>
      </c>
      <c r="M80" s="2" t="s">
        <v>1486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ht="39" x14ac:dyDescent="0.25">
      <c r="A81" s="2">
        <v>15567016</v>
      </c>
      <c r="B81" s="2" t="s">
        <v>10</v>
      </c>
      <c r="C81" s="2" t="s">
        <v>3121</v>
      </c>
      <c r="D81" s="2" t="s">
        <v>3121</v>
      </c>
      <c r="E81" s="2" t="s">
        <v>2741</v>
      </c>
      <c r="F81" s="2" t="s">
        <v>3344</v>
      </c>
      <c r="G81" s="2">
        <v>36157411536</v>
      </c>
      <c r="H81" s="2" t="s">
        <v>232</v>
      </c>
      <c r="I81" s="2" t="s">
        <v>233</v>
      </c>
      <c r="J81" s="3">
        <v>42191</v>
      </c>
      <c r="K81" s="2" t="s">
        <v>14</v>
      </c>
      <c r="L81" s="2" t="s">
        <v>1539</v>
      </c>
      <c r="M81" s="2" t="s">
        <v>1484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</row>
    <row r="82" spans="1:19" ht="26.25" x14ac:dyDescent="0.25">
      <c r="A82" s="2">
        <v>17552002</v>
      </c>
      <c r="B82" s="2" t="s">
        <v>10</v>
      </c>
      <c r="C82" s="2" t="s">
        <v>3119</v>
      </c>
      <c r="D82" s="2" t="s">
        <v>19</v>
      </c>
      <c r="E82" s="2" t="s">
        <v>234</v>
      </c>
      <c r="F82" s="2" t="s">
        <v>3345</v>
      </c>
      <c r="G82" s="2">
        <v>33157918546</v>
      </c>
      <c r="H82" s="2" t="s">
        <v>235</v>
      </c>
      <c r="I82" s="2" t="s">
        <v>236</v>
      </c>
      <c r="J82" s="3">
        <v>42921</v>
      </c>
      <c r="K82" s="2" t="s">
        <v>14</v>
      </c>
      <c r="L82" s="2" t="s">
        <v>1510</v>
      </c>
      <c r="M82" s="2" t="s">
        <v>1484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</row>
    <row r="83" spans="1:19" ht="26.25" x14ac:dyDescent="0.25">
      <c r="A83" s="2">
        <v>13534017</v>
      </c>
      <c r="B83" s="2" t="s">
        <v>10</v>
      </c>
      <c r="C83" s="2" t="s">
        <v>32</v>
      </c>
      <c r="D83" s="2" t="s">
        <v>196</v>
      </c>
      <c r="E83" s="2" t="s">
        <v>2742</v>
      </c>
      <c r="F83" s="2" t="s">
        <v>3346</v>
      </c>
      <c r="G83" s="2">
        <v>27898379384</v>
      </c>
      <c r="H83" s="2" t="s">
        <v>237</v>
      </c>
      <c r="I83" s="2" t="s">
        <v>238</v>
      </c>
      <c r="J83" s="3">
        <v>41523</v>
      </c>
      <c r="K83" s="2" t="s">
        <v>14</v>
      </c>
      <c r="L83" s="2" t="s">
        <v>1530</v>
      </c>
      <c r="M83" s="2" t="s">
        <v>1484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</row>
    <row r="84" spans="1:19" ht="39" x14ac:dyDescent="0.25">
      <c r="A84" s="2">
        <v>11549101</v>
      </c>
      <c r="B84" s="2" t="s">
        <v>10</v>
      </c>
      <c r="C84" s="2" t="s">
        <v>3117</v>
      </c>
      <c r="D84" s="2" t="s">
        <v>11</v>
      </c>
      <c r="E84" s="2" t="s">
        <v>239</v>
      </c>
      <c r="F84" s="2" t="s">
        <v>3347</v>
      </c>
      <c r="G84" s="2">
        <v>33016560824</v>
      </c>
      <c r="H84" s="2" t="s">
        <v>240</v>
      </c>
      <c r="I84" s="2" t="s">
        <v>241</v>
      </c>
      <c r="J84" s="3">
        <v>40952</v>
      </c>
      <c r="K84" s="2" t="s">
        <v>14</v>
      </c>
      <c r="L84" s="2" t="s">
        <v>3171</v>
      </c>
      <c r="M84" s="2" t="s">
        <v>1486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ht="26.25" x14ac:dyDescent="0.25">
      <c r="A85" s="2">
        <v>14533026</v>
      </c>
      <c r="B85" s="2" t="s">
        <v>10</v>
      </c>
      <c r="C85" s="2" t="s">
        <v>32</v>
      </c>
      <c r="D85" s="2" t="s">
        <v>132</v>
      </c>
      <c r="E85" s="2" t="s">
        <v>2743</v>
      </c>
      <c r="F85" s="2" t="s">
        <v>3348</v>
      </c>
      <c r="G85" s="2">
        <v>29966390734</v>
      </c>
      <c r="H85" s="2" t="s">
        <v>242</v>
      </c>
      <c r="I85" s="2" t="s">
        <v>243</v>
      </c>
      <c r="J85" s="3">
        <v>42017</v>
      </c>
      <c r="K85" s="2" t="s">
        <v>14</v>
      </c>
      <c r="L85" s="2" t="s">
        <v>1540</v>
      </c>
      <c r="M85" s="2" t="s">
        <v>1484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</row>
    <row r="86" spans="1:19" ht="26.25" x14ac:dyDescent="0.25">
      <c r="A86" s="2">
        <v>11567104</v>
      </c>
      <c r="B86" s="2" t="s">
        <v>10</v>
      </c>
      <c r="C86" s="2" t="s">
        <v>3121</v>
      </c>
      <c r="D86" s="2" t="s">
        <v>3121</v>
      </c>
      <c r="E86" s="2" t="s">
        <v>244</v>
      </c>
      <c r="F86" s="2" t="s">
        <v>3349</v>
      </c>
      <c r="G86" s="2">
        <v>37999934788</v>
      </c>
      <c r="H86" s="2" t="s">
        <v>245</v>
      </c>
      <c r="I86" s="2" t="s">
        <v>246</v>
      </c>
      <c r="J86" s="3">
        <v>40953</v>
      </c>
      <c r="K86" s="2" t="s">
        <v>14</v>
      </c>
      <c r="L86" s="2" t="s">
        <v>3172</v>
      </c>
      <c r="M86" s="2" t="s">
        <v>1486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ht="26.25" x14ac:dyDescent="0.25">
      <c r="A87" s="2">
        <v>14533023</v>
      </c>
      <c r="B87" s="2" t="s">
        <v>10</v>
      </c>
      <c r="C87" s="2" t="s">
        <v>32</v>
      </c>
      <c r="D87" s="2" t="s">
        <v>132</v>
      </c>
      <c r="E87" s="2" t="s">
        <v>2744</v>
      </c>
      <c r="F87" s="2" t="s">
        <v>3350</v>
      </c>
      <c r="G87" s="2">
        <v>22966582246</v>
      </c>
      <c r="H87" s="2" t="s">
        <v>247</v>
      </c>
      <c r="I87" s="2" t="s">
        <v>248</v>
      </c>
      <c r="J87" s="3">
        <v>42016</v>
      </c>
      <c r="K87" s="2" t="s">
        <v>14</v>
      </c>
      <c r="L87" s="2" t="s">
        <v>1541</v>
      </c>
      <c r="M87" s="2" t="s">
        <v>1484</v>
      </c>
      <c r="N87" s="2">
        <v>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</row>
    <row r="88" spans="1:19" ht="26.25" x14ac:dyDescent="0.25">
      <c r="A88" s="2">
        <v>14507014</v>
      </c>
      <c r="B88" s="2" t="s">
        <v>10</v>
      </c>
      <c r="C88" s="2" t="s">
        <v>67</v>
      </c>
      <c r="D88" s="2" t="s">
        <v>67</v>
      </c>
      <c r="E88" s="2" t="s">
        <v>2745</v>
      </c>
      <c r="F88" s="2" t="s">
        <v>3351</v>
      </c>
      <c r="G88" s="2">
        <v>40222002192</v>
      </c>
      <c r="H88" s="2" t="s">
        <v>249</v>
      </c>
      <c r="I88" s="2" t="s">
        <v>250</v>
      </c>
      <c r="J88" s="3">
        <v>42016</v>
      </c>
      <c r="K88" s="2" t="s">
        <v>14</v>
      </c>
      <c r="L88" s="2" t="s">
        <v>3173</v>
      </c>
      <c r="M88" s="2" t="s">
        <v>1484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</row>
    <row r="89" spans="1:19" ht="39" x14ac:dyDescent="0.25">
      <c r="A89" s="2">
        <v>14508026</v>
      </c>
      <c r="B89" s="2" t="s">
        <v>10</v>
      </c>
      <c r="C89" s="2" t="s">
        <v>3142</v>
      </c>
      <c r="D89" s="2" t="s">
        <v>3142</v>
      </c>
      <c r="E89" s="2" t="s">
        <v>251</v>
      </c>
      <c r="F89" s="2" t="s">
        <v>3352</v>
      </c>
      <c r="G89" s="2">
        <v>44611566586</v>
      </c>
      <c r="H89" s="2" t="s">
        <v>252</v>
      </c>
      <c r="I89" s="2" t="s">
        <v>253</v>
      </c>
      <c r="J89" s="3">
        <v>42017</v>
      </c>
      <c r="K89" s="2" t="s">
        <v>14</v>
      </c>
      <c r="L89" s="2" t="s">
        <v>1542</v>
      </c>
      <c r="M89" s="2" t="s">
        <v>1484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">
        <v>0</v>
      </c>
    </row>
    <row r="90" spans="1:19" ht="39" x14ac:dyDescent="0.25">
      <c r="A90" s="2">
        <v>12513017</v>
      </c>
      <c r="B90" s="2" t="s">
        <v>10</v>
      </c>
      <c r="C90" s="2" t="s">
        <v>3128</v>
      </c>
      <c r="D90" s="2" t="s">
        <v>45</v>
      </c>
      <c r="E90" s="2" t="s">
        <v>2746</v>
      </c>
      <c r="F90" s="2" t="s">
        <v>3353</v>
      </c>
      <c r="G90" s="2">
        <v>45244389054</v>
      </c>
      <c r="H90" s="2" t="s">
        <v>254</v>
      </c>
      <c r="I90" s="2" t="s">
        <v>255</v>
      </c>
      <c r="J90" s="3">
        <v>41163</v>
      </c>
      <c r="K90" s="2" t="s">
        <v>14</v>
      </c>
      <c r="L90" s="2" t="s">
        <v>1543</v>
      </c>
      <c r="M90" s="2" t="s">
        <v>1486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ht="26.25" x14ac:dyDescent="0.25">
      <c r="A91" s="2">
        <v>13501046</v>
      </c>
      <c r="B91" s="2" t="s">
        <v>10</v>
      </c>
      <c r="C91" s="2" t="s">
        <v>3130</v>
      </c>
      <c r="D91" s="2" t="s">
        <v>3130</v>
      </c>
      <c r="E91" s="2" t="s">
        <v>2747</v>
      </c>
      <c r="F91" s="2" t="s">
        <v>3354</v>
      </c>
      <c r="G91" s="2">
        <v>43933947530</v>
      </c>
      <c r="H91" s="2" t="s">
        <v>256</v>
      </c>
      <c r="I91" s="2" t="s">
        <v>257</v>
      </c>
      <c r="J91" s="3">
        <v>41523</v>
      </c>
      <c r="K91" s="2" t="s">
        <v>14</v>
      </c>
      <c r="L91" s="2" t="s">
        <v>1544</v>
      </c>
      <c r="M91" s="2" t="s">
        <v>1484</v>
      </c>
      <c r="N91" s="2">
        <v>0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</row>
    <row r="92" spans="1:19" ht="39" x14ac:dyDescent="0.25">
      <c r="A92" s="2">
        <v>16513025</v>
      </c>
      <c r="B92" s="2" t="s">
        <v>10</v>
      </c>
      <c r="C92" s="2" t="s">
        <v>3128</v>
      </c>
      <c r="D92" s="2" t="s">
        <v>45</v>
      </c>
      <c r="E92" s="2" t="s">
        <v>2748</v>
      </c>
      <c r="F92" s="2" t="s">
        <v>3355</v>
      </c>
      <c r="G92" s="2">
        <v>33868758288</v>
      </c>
      <c r="H92" s="2" t="s">
        <v>258</v>
      </c>
      <c r="I92" s="2" t="s">
        <v>259</v>
      </c>
      <c r="J92" s="3">
        <v>42614</v>
      </c>
      <c r="K92" s="2" t="s">
        <v>14</v>
      </c>
      <c r="L92" s="2" t="s">
        <v>1545</v>
      </c>
      <c r="M92" s="2" t="s">
        <v>1484</v>
      </c>
      <c r="N92" s="2">
        <v>0</v>
      </c>
      <c r="O92" s="2">
        <v>0</v>
      </c>
      <c r="P92" s="2">
        <v>0</v>
      </c>
      <c r="Q92" s="2">
        <v>0</v>
      </c>
      <c r="R92" s="2">
        <v>1</v>
      </c>
      <c r="S92" s="2">
        <v>0</v>
      </c>
    </row>
    <row r="93" spans="1:19" ht="26.25" x14ac:dyDescent="0.25">
      <c r="A93" s="2">
        <v>13532028</v>
      </c>
      <c r="B93" s="2" t="s">
        <v>10</v>
      </c>
      <c r="C93" s="2" t="s">
        <v>32</v>
      </c>
      <c r="D93" s="2" t="s">
        <v>33</v>
      </c>
      <c r="E93" s="2" t="s">
        <v>260</v>
      </c>
      <c r="F93" s="2" t="s">
        <v>3356</v>
      </c>
      <c r="G93" s="2">
        <v>10536041910</v>
      </c>
      <c r="H93" s="2" t="s">
        <v>261</v>
      </c>
      <c r="I93" s="2" t="s">
        <v>262</v>
      </c>
      <c r="J93" s="3">
        <v>41648</v>
      </c>
      <c r="K93" s="2" t="s">
        <v>14</v>
      </c>
      <c r="L93" s="2" t="s">
        <v>1546</v>
      </c>
      <c r="M93" s="2" t="s">
        <v>1484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</row>
    <row r="94" spans="1:19" ht="51.75" x14ac:dyDescent="0.25">
      <c r="A94" s="2">
        <v>10530009</v>
      </c>
      <c r="B94" s="2" t="s">
        <v>10</v>
      </c>
      <c r="C94" s="2" t="s">
        <v>32</v>
      </c>
      <c r="D94" s="2" t="s">
        <v>48</v>
      </c>
      <c r="E94" s="2" t="s">
        <v>2749</v>
      </c>
      <c r="F94" s="2" t="s">
        <v>3357</v>
      </c>
      <c r="G94" s="2">
        <v>24200233310</v>
      </c>
      <c r="H94" s="2" t="s">
        <v>263</v>
      </c>
      <c r="I94" s="2" t="s">
        <v>264</v>
      </c>
      <c r="J94" s="3">
        <v>40443</v>
      </c>
      <c r="K94" s="2" t="s">
        <v>14</v>
      </c>
      <c r="L94" s="2" t="s">
        <v>1547</v>
      </c>
      <c r="M94" s="2" t="s">
        <v>1486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ht="26.25" x14ac:dyDescent="0.25">
      <c r="A95" s="2">
        <v>15535002</v>
      </c>
      <c r="B95" s="2" t="s">
        <v>10</v>
      </c>
      <c r="C95" s="2" t="s">
        <v>32</v>
      </c>
      <c r="D95" s="2" t="s">
        <v>45</v>
      </c>
      <c r="E95" s="2" t="s">
        <v>2750</v>
      </c>
      <c r="F95" s="2" t="s">
        <v>3358</v>
      </c>
      <c r="G95" s="2">
        <v>16646681244</v>
      </c>
      <c r="H95" s="2" t="s">
        <v>265</v>
      </c>
      <c r="I95" s="2" t="s">
        <v>266</v>
      </c>
      <c r="J95" s="3">
        <v>42187</v>
      </c>
      <c r="K95" s="2" t="s">
        <v>14</v>
      </c>
      <c r="L95" s="2" t="s">
        <v>1548</v>
      </c>
      <c r="M95" s="2" t="s">
        <v>1484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1</v>
      </c>
    </row>
    <row r="96" spans="1:19" ht="39" x14ac:dyDescent="0.25">
      <c r="A96" s="2">
        <v>9521102</v>
      </c>
      <c r="B96" s="2" t="s">
        <v>10</v>
      </c>
      <c r="C96" s="2" t="s">
        <v>3119</v>
      </c>
      <c r="D96" s="2" t="s">
        <v>229</v>
      </c>
      <c r="E96" s="2" t="s">
        <v>2751</v>
      </c>
      <c r="F96" s="2" t="s">
        <v>3359</v>
      </c>
      <c r="G96" s="2">
        <v>32104060758</v>
      </c>
      <c r="H96" s="2" t="s">
        <v>267</v>
      </c>
      <c r="I96" s="2" t="s">
        <v>268</v>
      </c>
      <c r="J96" s="3">
        <v>40224</v>
      </c>
      <c r="K96" s="2" t="s">
        <v>14</v>
      </c>
      <c r="L96" s="2" t="s">
        <v>1549</v>
      </c>
      <c r="M96" s="2" t="s">
        <v>1486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 ht="51.75" x14ac:dyDescent="0.25">
      <c r="A97" s="2">
        <v>14534012</v>
      </c>
      <c r="B97" s="2" t="s">
        <v>10</v>
      </c>
      <c r="C97" s="2" t="s">
        <v>32</v>
      </c>
      <c r="D97" s="2" t="s">
        <v>196</v>
      </c>
      <c r="E97" s="2" t="s">
        <v>2752</v>
      </c>
      <c r="F97" s="2" t="s">
        <v>3360</v>
      </c>
      <c r="G97" s="2">
        <v>99586204070</v>
      </c>
      <c r="H97" s="2" t="s">
        <v>269</v>
      </c>
      <c r="I97" s="2"/>
      <c r="J97" s="3">
        <v>41827</v>
      </c>
      <c r="K97" s="2" t="s">
        <v>14</v>
      </c>
      <c r="L97" s="2" t="s">
        <v>1550</v>
      </c>
      <c r="M97" s="2" t="s">
        <v>1484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</row>
    <row r="98" spans="1:19" ht="26.25" x14ac:dyDescent="0.25">
      <c r="A98" s="2">
        <v>16561007</v>
      </c>
      <c r="B98" s="2" t="s">
        <v>10</v>
      </c>
      <c r="C98" s="2" t="s">
        <v>32</v>
      </c>
      <c r="D98" s="2" t="s">
        <v>42</v>
      </c>
      <c r="E98" s="2" t="s">
        <v>2753</v>
      </c>
      <c r="F98" s="2" t="s">
        <v>3361</v>
      </c>
      <c r="G98" s="2">
        <v>38470265162</v>
      </c>
      <c r="H98" s="2" t="s">
        <v>270</v>
      </c>
      <c r="I98" s="2" t="s">
        <v>271</v>
      </c>
      <c r="J98" s="3">
        <v>42586</v>
      </c>
      <c r="K98" s="2" t="s">
        <v>14</v>
      </c>
      <c r="L98" s="2" t="s">
        <v>1551</v>
      </c>
      <c r="M98" s="2" t="s">
        <v>1484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 s="2">
        <v>0</v>
      </c>
    </row>
    <row r="99" spans="1:19" ht="39" x14ac:dyDescent="0.25">
      <c r="A99" s="2">
        <v>14505038</v>
      </c>
      <c r="B99" s="2" t="s">
        <v>10</v>
      </c>
      <c r="C99" s="2" t="s">
        <v>3123</v>
      </c>
      <c r="D99" s="2" t="s">
        <v>70</v>
      </c>
      <c r="E99" s="2" t="s">
        <v>2754</v>
      </c>
      <c r="F99" s="2" t="s">
        <v>3362</v>
      </c>
      <c r="G99" s="2">
        <v>24320542552</v>
      </c>
      <c r="H99" s="2" t="s">
        <v>272</v>
      </c>
      <c r="I99" s="2" t="s">
        <v>273</v>
      </c>
      <c r="J99" s="3">
        <v>41886</v>
      </c>
      <c r="K99" s="2" t="s">
        <v>14</v>
      </c>
      <c r="L99" s="2" t="s">
        <v>1552</v>
      </c>
      <c r="M99" s="2" t="s">
        <v>1484</v>
      </c>
      <c r="N99" s="2">
        <v>0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</row>
    <row r="100" spans="1:19" ht="26.25" x14ac:dyDescent="0.25">
      <c r="A100" s="2">
        <v>15506007</v>
      </c>
      <c r="B100" s="2" t="s">
        <v>10</v>
      </c>
      <c r="C100" s="2" t="s">
        <v>3122</v>
      </c>
      <c r="D100" s="2" t="s">
        <v>3122</v>
      </c>
      <c r="E100" s="2" t="s">
        <v>2755</v>
      </c>
      <c r="F100" s="2" t="s">
        <v>3363</v>
      </c>
      <c r="G100" s="2">
        <v>33445759202</v>
      </c>
      <c r="H100" s="2" t="s">
        <v>274</v>
      </c>
      <c r="I100" s="2" t="s">
        <v>275</v>
      </c>
      <c r="J100" s="3">
        <v>42181</v>
      </c>
      <c r="K100" s="2" t="s">
        <v>14</v>
      </c>
      <c r="L100" s="2" t="s">
        <v>1553</v>
      </c>
      <c r="M100" s="2" t="s">
        <v>1484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</row>
    <row r="101" spans="1:19" ht="39" x14ac:dyDescent="0.25">
      <c r="A101" s="2">
        <v>14508008</v>
      </c>
      <c r="B101" s="2" t="s">
        <v>10</v>
      </c>
      <c r="C101" s="2" t="s">
        <v>3142</v>
      </c>
      <c r="D101" s="2" t="s">
        <v>3142</v>
      </c>
      <c r="E101" s="2" t="s">
        <v>276</v>
      </c>
      <c r="F101" s="2" t="s">
        <v>3364</v>
      </c>
      <c r="G101" s="2">
        <v>62356100698</v>
      </c>
      <c r="H101" s="2" t="s">
        <v>277</v>
      </c>
      <c r="I101" s="2" t="s">
        <v>278</v>
      </c>
      <c r="J101" s="3">
        <v>41876</v>
      </c>
      <c r="K101" s="2" t="s">
        <v>36</v>
      </c>
      <c r="L101" s="2" t="s">
        <v>3174</v>
      </c>
      <c r="M101" s="2" t="s">
        <v>1486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ht="39" x14ac:dyDescent="0.25">
      <c r="A102" s="2">
        <v>13570032</v>
      </c>
      <c r="B102" s="2" t="s">
        <v>10</v>
      </c>
      <c r="C102" s="2" t="s">
        <v>3127</v>
      </c>
      <c r="D102" s="2" t="s">
        <v>3127</v>
      </c>
      <c r="E102" s="2" t="s">
        <v>279</v>
      </c>
      <c r="F102" s="2" t="s">
        <v>3365</v>
      </c>
      <c r="G102" s="2">
        <v>59533416444</v>
      </c>
      <c r="H102" s="2" t="s">
        <v>280</v>
      </c>
      <c r="I102" s="2"/>
      <c r="J102" s="3">
        <v>41654</v>
      </c>
      <c r="K102" s="2" t="s">
        <v>14</v>
      </c>
      <c r="L102" s="2" t="s">
        <v>3175</v>
      </c>
      <c r="M102" s="2" t="s">
        <v>1484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0</v>
      </c>
    </row>
    <row r="103" spans="1:19" ht="39" x14ac:dyDescent="0.25">
      <c r="A103" s="2">
        <v>15558007</v>
      </c>
      <c r="B103" s="2" t="s">
        <v>10</v>
      </c>
      <c r="C103" s="2" t="s">
        <v>209</v>
      </c>
      <c r="D103" s="2" t="s">
        <v>281</v>
      </c>
      <c r="E103" s="2" t="s">
        <v>2756</v>
      </c>
      <c r="F103" s="2" t="s">
        <v>3366</v>
      </c>
      <c r="G103" s="2">
        <v>42001999228</v>
      </c>
      <c r="H103" s="2" t="s">
        <v>282</v>
      </c>
      <c r="I103" s="2" t="s">
        <v>283</v>
      </c>
      <c r="J103" s="3">
        <v>42390</v>
      </c>
      <c r="K103" s="2" t="s">
        <v>14</v>
      </c>
      <c r="L103" s="2" t="s">
        <v>1554</v>
      </c>
      <c r="M103" s="2" t="s">
        <v>1484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</row>
    <row r="104" spans="1:19" ht="26.25" x14ac:dyDescent="0.25">
      <c r="A104" s="2">
        <v>14543023</v>
      </c>
      <c r="B104" s="2" t="s">
        <v>10</v>
      </c>
      <c r="C104" s="2" t="s">
        <v>126</v>
      </c>
      <c r="D104" s="2" t="s">
        <v>126</v>
      </c>
      <c r="E104" s="2" t="s">
        <v>2757</v>
      </c>
      <c r="F104" s="2" t="s">
        <v>3367</v>
      </c>
      <c r="G104" s="2">
        <v>14441379700</v>
      </c>
      <c r="H104" s="2" t="s">
        <v>284</v>
      </c>
      <c r="I104" s="2" t="s">
        <v>285</v>
      </c>
      <c r="J104" s="3">
        <v>42016</v>
      </c>
      <c r="K104" s="2" t="s">
        <v>14</v>
      </c>
      <c r="L104" s="2" t="s">
        <v>1555</v>
      </c>
      <c r="M104" s="2" t="s">
        <v>1484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</row>
    <row r="105" spans="1:19" ht="26.25" x14ac:dyDescent="0.25">
      <c r="A105" s="2">
        <v>15534012</v>
      </c>
      <c r="B105" s="2" t="s">
        <v>10</v>
      </c>
      <c r="C105" s="2" t="s">
        <v>32</v>
      </c>
      <c r="D105" s="2" t="s">
        <v>196</v>
      </c>
      <c r="E105" s="2" t="s">
        <v>2758</v>
      </c>
      <c r="F105" s="2" t="s">
        <v>3368</v>
      </c>
      <c r="G105" s="2">
        <v>18820387478</v>
      </c>
      <c r="H105" s="2" t="s">
        <v>286</v>
      </c>
      <c r="I105" s="2" t="s">
        <v>287</v>
      </c>
      <c r="J105" s="3">
        <v>42187</v>
      </c>
      <c r="K105" s="2" t="s">
        <v>14</v>
      </c>
      <c r="L105" s="2" t="s">
        <v>3176</v>
      </c>
      <c r="M105" s="2" t="s">
        <v>1484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">
        <v>0</v>
      </c>
    </row>
    <row r="106" spans="1:19" ht="39" x14ac:dyDescent="0.25">
      <c r="A106" s="2">
        <v>15520031</v>
      </c>
      <c r="B106" s="2" t="s">
        <v>10</v>
      </c>
      <c r="C106" s="2" t="s">
        <v>3118</v>
      </c>
      <c r="D106" s="2" t="s">
        <v>3118</v>
      </c>
      <c r="E106" s="2" t="s">
        <v>288</v>
      </c>
      <c r="F106" s="2" t="s">
        <v>3369</v>
      </c>
      <c r="G106" s="2">
        <v>27392553792</v>
      </c>
      <c r="H106" s="2" t="s">
        <v>289</v>
      </c>
      <c r="I106" s="2" t="s">
        <v>290</v>
      </c>
      <c r="J106" s="3">
        <v>42389</v>
      </c>
      <c r="K106" s="2" t="s">
        <v>14</v>
      </c>
      <c r="L106" s="2" t="s">
        <v>1556</v>
      </c>
      <c r="M106" s="2" t="s">
        <v>1484</v>
      </c>
      <c r="N106" s="2">
        <v>0</v>
      </c>
      <c r="O106" s="2">
        <v>0</v>
      </c>
      <c r="P106" s="2">
        <v>1</v>
      </c>
      <c r="Q106" s="2">
        <v>0</v>
      </c>
      <c r="R106" s="2">
        <v>0</v>
      </c>
      <c r="S106" s="2">
        <v>0</v>
      </c>
    </row>
    <row r="107" spans="1:19" ht="51.75" x14ac:dyDescent="0.25">
      <c r="A107" s="2">
        <v>14570003</v>
      </c>
      <c r="B107" s="2" t="s">
        <v>66</v>
      </c>
      <c r="C107" s="2" t="s">
        <v>3127</v>
      </c>
      <c r="D107" s="2" t="s">
        <v>3127</v>
      </c>
      <c r="E107" s="2" t="s">
        <v>2759</v>
      </c>
      <c r="F107" s="2" t="s">
        <v>3370</v>
      </c>
      <c r="G107" s="2">
        <v>25312324620</v>
      </c>
      <c r="H107" s="2" t="s">
        <v>291</v>
      </c>
      <c r="I107" s="2" t="s">
        <v>292</v>
      </c>
      <c r="J107" s="3">
        <v>41827</v>
      </c>
      <c r="K107" s="2" t="s">
        <v>14</v>
      </c>
      <c r="L107" s="2" t="s">
        <v>1557</v>
      </c>
      <c r="M107" s="2" t="s">
        <v>1484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</row>
    <row r="108" spans="1:19" ht="26.25" x14ac:dyDescent="0.25">
      <c r="A108" s="2">
        <v>14504034</v>
      </c>
      <c r="B108" s="2" t="s">
        <v>10</v>
      </c>
      <c r="C108" s="2" t="s">
        <v>3123</v>
      </c>
      <c r="D108" s="2" t="s">
        <v>52</v>
      </c>
      <c r="E108" s="2" t="s">
        <v>2760</v>
      </c>
      <c r="F108" s="2" t="s">
        <v>3371</v>
      </c>
      <c r="G108" s="2">
        <v>26153491618</v>
      </c>
      <c r="H108" s="2" t="s">
        <v>293</v>
      </c>
      <c r="I108" s="2" t="s">
        <v>294</v>
      </c>
      <c r="J108" s="3">
        <v>42016</v>
      </c>
      <c r="K108" s="2" t="s">
        <v>14</v>
      </c>
      <c r="L108" s="2" t="s">
        <v>3177</v>
      </c>
      <c r="M108" s="2" t="s">
        <v>1484</v>
      </c>
      <c r="N108" s="2">
        <v>0</v>
      </c>
      <c r="O108" s="2">
        <v>0</v>
      </c>
      <c r="P108" s="2">
        <v>0</v>
      </c>
      <c r="Q108" s="2">
        <v>0</v>
      </c>
      <c r="R108" s="2">
        <v>1</v>
      </c>
      <c r="S108" s="2">
        <v>0</v>
      </c>
    </row>
    <row r="109" spans="1:19" ht="26.25" x14ac:dyDescent="0.25">
      <c r="A109" s="2">
        <v>6555002</v>
      </c>
      <c r="B109" s="2" t="s">
        <v>10</v>
      </c>
      <c r="C109" s="2" t="s">
        <v>3117</v>
      </c>
      <c r="D109" s="2" t="s">
        <v>3147</v>
      </c>
      <c r="E109" s="2" t="s">
        <v>2761</v>
      </c>
      <c r="F109" s="2" t="s">
        <v>3372</v>
      </c>
      <c r="G109" s="2">
        <v>29393350790</v>
      </c>
      <c r="H109" s="2" t="s">
        <v>295</v>
      </c>
      <c r="I109" s="2" t="s">
        <v>296</v>
      </c>
      <c r="J109" s="3">
        <v>40772</v>
      </c>
      <c r="K109" s="2" t="s">
        <v>14</v>
      </c>
      <c r="L109" s="2" t="s">
        <v>3178</v>
      </c>
      <c r="M109" s="2" t="s">
        <v>1486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ht="26.25" x14ac:dyDescent="0.25">
      <c r="A110" s="2">
        <v>16530009</v>
      </c>
      <c r="B110" s="2" t="s">
        <v>10</v>
      </c>
      <c r="C110" s="2" t="s">
        <v>32</v>
      </c>
      <c r="D110" s="2" t="s">
        <v>48</v>
      </c>
      <c r="E110" s="2" t="s">
        <v>2762</v>
      </c>
      <c r="F110" s="2" t="s">
        <v>3373</v>
      </c>
      <c r="G110" s="2">
        <v>62101055426</v>
      </c>
      <c r="H110" s="2" t="s">
        <v>297</v>
      </c>
      <c r="I110" s="2" t="s">
        <v>298</v>
      </c>
      <c r="J110" s="3">
        <v>42584</v>
      </c>
      <c r="K110" s="2" t="s">
        <v>14</v>
      </c>
      <c r="L110" s="2" t="s">
        <v>1558</v>
      </c>
      <c r="M110" s="2" t="s">
        <v>1484</v>
      </c>
      <c r="N110" s="2">
        <v>0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</row>
    <row r="111" spans="1:19" ht="39" x14ac:dyDescent="0.25">
      <c r="A111" s="2">
        <v>14536004</v>
      </c>
      <c r="B111" s="2" t="s">
        <v>10</v>
      </c>
      <c r="C111" s="2" t="s">
        <v>32</v>
      </c>
      <c r="D111" s="2" t="s">
        <v>299</v>
      </c>
      <c r="E111" s="2" t="s">
        <v>2763</v>
      </c>
      <c r="F111" s="2" t="s">
        <v>3374</v>
      </c>
      <c r="G111" s="2">
        <v>36610698290</v>
      </c>
      <c r="H111" s="2" t="s">
        <v>300</v>
      </c>
      <c r="I111" s="2" t="s">
        <v>301</v>
      </c>
      <c r="J111" s="3">
        <v>41823</v>
      </c>
      <c r="K111" s="2" t="s">
        <v>110</v>
      </c>
      <c r="L111" s="2" t="s">
        <v>1559</v>
      </c>
      <c r="M111" s="2" t="s">
        <v>1484</v>
      </c>
      <c r="N111" s="2">
        <v>0</v>
      </c>
      <c r="O111" s="2">
        <v>0</v>
      </c>
      <c r="P111" s="2">
        <v>0</v>
      </c>
      <c r="Q111" s="2">
        <v>1</v>
      </c>
      <c r="R111" s="2">
        <v>0</v>
      </c>
      <c r="S111" s="2">
        <v>0</v>
      </c>
    </row>
    <row r="112" spans="1:19" ht="26.25" x14ac:dyDescent="0.25">
      <c r="A112" s="2">
        <v>15508030</v>
      </c>
      <c r="B112" s="2" t="s">
        <v>10</v>
      </c>
      <c r="C112" s="2" t="s">
        <v>3142</v>
      </c>
      <c r="D112" s="2" t="s">
        <v>3142</v>
      </c>
      <c r="E112" s="2" t="s">
        <v>2764</v>
      </c>
      <c r="F112" s="2" t="s">
        <v>3375</v>
      </c>
      <c r="G112" s="2">
        <v>24301610164</v>
      </c>
      <c r="H112" s="2" t="s">
        <v>302</v>
      </c>
      <c r="I112" s="2" t="s">
        <v>303</v>
      </c>
      <c r="J112" s="3">
        <v>42391</v>
      </c>
      <c r="K112" s="2" t="s">
        <v>14</v>
      </c>
      <c r="L112" s="2" t="s">
        <v>3179</v>
      </c>
      <c r="M112" s="2" t="s">
        <v>1484</v>
      </c>
      <c r="N112" s="2">
        <v>0</v>
      </c>
      <c r="O112" s="2">
        <v>0</v>
      </c>
      <c r="P112" s="2">
        <v>0</v>
      </c>
      <c r="Q112" s="2">
        <v>1</v>
      </c>
      <c r="R112" s="2">
        <v>0</v>
      </c>
      <c r="S112" s="2">
        <v>0</v>
      </c>
    </row>
    <row r="113" spans="1:19" ht="26.25" x14ac:dyDescent="0.25">
      <c r="A113" s="2">
        <v>14507011</v>
      </c>
      <c r="B113" s="2" t="s">
        <v>10</v>
      </c>
      <c r="C113" s="2" t="s">
        <v>67</v>
      </c>
      <c r="D113" s="2" t="s">
        <v>67</v>
      </c>
      <c r="E113" s="2" t="s">
        <v>2765</v>
      </c>
      <c r="F113" s="2" t="s">
        <v>3376</v>
      </c>
      <c r="G113" s="2">
        <v>39754843632</v>
      </c>
      <c r="H113" s="2" t="s">
        <v>304</v>
      </c>
      <c r="I113" s="2" t="s">
        <v>305</v>
      </c>
      <c r="J113" s="3">
        <v>41879</v>
      </c>
      <c r="K113" s="2" t="s">
        <v>14</v>
      </c>
      <c r="L113" s="2" t="s">
        <v>1560</v>
      </c>
      <c r="M113" s="2" t="s">
        <v>1484</v>
      </c>
      <c r="N113" s="2">
        <v>0</v>
      </c>
      <c r="O113" s="2">
        <v>0</v>
      </c>
      <c r="P113" s="2">
        <v>0</v>
      </c>
      <c r="Q113" s="2">
        <v>0</v>
      </c>
      <c r="R113" s="2">
        <v>1</v>
      </c>
      <c r="S113" s="2">
        <v>0</v>
      </c>
    </row>
    <row r="114" spans="1:19" ht="26.25" x14ac:dyDescent="0.25">
      <c r="A114" s="2">
        <v>15552016</v>
      </c>
      <c r="B114" s="2" t="s">
        <v>10</v>
      </c>
      <c r="C114" s="2" t="s">
        <v>3119</v>
      </c>
      <c r="D114" s="2" t="s">
        <v>19</v>
      </c>
      <c r="E114" s="2" t="s">
        <v>306</v>
      </c>
      <c r="F114" s="2" t="s">
        <v>3377</v>
      </c>
      <c r="G114" s="2">
        <v>16403338930</v>
      </c>
      <c r="H114" s="2" t="s">
        <v>307</v>
      </c>
      <c r="I114" s="2" t="s">
        <v>308</v>
      </c>
      <c r="J114" s="3">
        <v>42191</v>
      </c>
      <c r="K114" s="2" t="s">
        <v>14</v>
      </c>
      <c r="L114" s="2" t="s">
        <v>1561</v>
      </c>
      <c r="M114" s="2" t="s">
        <v>1484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</row>
    <row r="115" spans="1:19" ht="39" x14ac:dyDescent="0.25">
      <c r="A115" s="2">
        <v>9520011</v>
      </c>
      <c r="B115" s="2" t="s">
        <v>10</v>
      </c>
      <c r="C115" s="2" t="s">
        <v>3118</v>
      </c>
      <c r="D115" s="2" t="s">
        <v>3118</v>
      </c>
      <c r="E115" s="2" t="s">
        <v>2766</v>
      </c>
      <c r="F115" s="2" t="s">
        <v>3378</v>
      </c>
      <c r="G115" s="2">
        <v>18595727790</v>
      </c>
      <c r="H115" s="2" t="s">
        <v>309</v>
      </c>
      <c r="I115" s="2" t="s">
        <v>310</v>
      </c>
      <c r="J115" s="3">
        <v>40073</v>
      </c>
      <c r="K115" s="2" t="s">
        <v>14</v>
      </c>
      <c r="L115" s="2" t="s">
        <v>3161</v>
      </c>
      <c r="M115" s="2" t="s">
        <v>1486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ht="26.25" x14ac:dyDescent="0.25">
      <c r="A116" s="2">
        <v>16524019</v>
      </c>
      <c r="B116" s="2" t="s">
        <v>10</v>
      </c>
      <c r="C116" s="2" t="s">
        <v>3119</v>
      </c>
      <c r="D116" s="2" t="s">
        <v>90</v>
      </c>
      <c r="E116" s="2" t="s">
        <v>2767</v>
      </c>
      <c r="F116" s="2" t="s">
        <v>3379</v>
      </c>
      <c r="G116" s="2">
        <v>14497519808</v>
      </c>
      <c r="H116" s="2" t="s">
        <v>311</v>
      </c>
      <c r="I116" s="2" t="s">
        <v>312</v>
      </c>
      <c r="J116" s="3">
        <v>42758</v>
      </c>
      <c r="K116" s="2" t="s">
        <v>14</v>
      </c>
      <c r="L116" s="2" t="s">
        <v>3180</v>
      </c>
      <c r="M116" s="2" t="s">
        <v>1484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</row>
    <row r="117" spans="1:19" ht="26.25" x14ac:dyDescent="0.25">
      <c r="A117" s="2">
        <v>14520043</v>
      </c>
      <c r="B117" s="2" t="s">
        <v>10</v>
      </c>
      <c r="C117" s="2" t="s">
        <v>3118</v>
      </c>
      <c r="D117" s="2" t="s">
        <v>3118</v>
      </c>
      <c r="E117" s="2" t="s">
        <v>2768</v>
      </c>
      <c r="F117" s="2" t="s">
        <v>3380</v>
      </c>
      <c r="G117" s="2">
        <v>29090152086</v>
      </c>
      <c r="H117" s="2" t="s">
        <v>313</v>
      </c>
      <c r="I117" s="2" t="s">
        <v>314</v>
      </c>
      <c r="J117" s="3">
        <v>42016</v>
      </c>
      <c r="K117" s="2" t="s">
        <v>14</v>
      </c>
      <c r="L117" s="2" t="s">
        <v>1562</v>
      </c>
      <c r="M117" s="2" t="s">
        <v>1484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</row>
    <row r="118" spans="1:19" ht="51.75" x14ac:dyDescent="0.25">
      <c r="A118" s="2">
        <v>16534002</v>
      </c>
      <c r="B118" s="2" t="s">
        <v>10</v>
      </c>
      <c r="C118" s="2" t="s">
        <v>32</v>
      </c>
      <c r="D118" s="2" t="s">
        <v>196</v>
      </c>
      <c r="E118" s="2" t="s">
        <v>2769</v>
      </c>
      <c r="F118" s="2" t="s">
        <v>3381</v>
      </c>
      <c r="G118" s="2">
        <v>13487940400</v>
      </c>
      <c r="H118" s="2" t="s">
        <v>315</v>
      </c>
      <c r="I118" s="2" t="s">
        <v>316</v>
      </c>
      <c r="J118" s="3">
        <v>42583</v>
      </c>
      <c r="K118" s="2" t="s">
        <v>14</v>
      </c>
      <c r="L118" s="2" t="s">
        <v>1563</v>
      </c>
      <c r="M118" s="2" t="s">
        <v>1484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</row>
    <row r="119" spans="1:19" ht="26.25" x14ac:dyDescent="0.25">
      <c r="A119" s="2">
        <v>15525037</v>
      </c>
      <c r="B119" s="2" t="s">
        <v>10</v>
      </c>
      <c r="C119" s="2" t="s">
        <v>105</v>
      </c>
      <c r="D119" s="2" t="s">
        <v>105</v>
      </c>
      <c r="E119" s="2" t="s">
        <v>2770</v>
      </c>
      <c r="F119" s="2" t="s">
        <v>3382</v>
      </c>
      <c r="G119" s="2">
        <v>48208869746</v>
      </c>
      <c r="H119" s="2" t="s">
        <v>317</v>
      </c>
      <c r="I119" s="2" t="s">
        <v>318</v>
      </c>
      <c r="J119" s="3">
        <v>42394</v>
      </c>
      <c r="K119" s="2" t="s">
        <v>14</v>
      </c>
      <c r="L119" s="2" t="s">
        <v>3181</v>
      </c>
      <c r="M119" s="2" t="s">
        <v>1484</v>
      </c>
      <c r="N119" s="2">
        <v>0</v>
      </c>
      <c r="O119" s="2">
        <v>0</v>
      </c>
      <c r="P119" s="2">
        <v>0</v>
      </c>
      <c r="Q119" s="2">
        <v>0</v>
      </c>
      <c r="R119" s="2">
        <v>1</v>
      </c>
      <c r="S119" s="2">
        <v>0</v>
      </c>
    </row>
    <row r="120" spans="1:19" ht="26.25" x14ac:dyDescent="0.25">
      <c r="A120" s="2">
        <v>16505011</v>
      </c>
      <c r="B120" s="2" t="s">
        <v>10</v>
      </c>
      <c r="C120" s="2" t="s">
        <v>3123</v>
      </c>
      <c r="D120" s="2" t="s">
        <v>70</v>
      </c>
      <c r="E120" s="2" t="s">
        <v>2771</v>
      </c>
      <c r="F120" s="2" t="s">
        <v>3383</v>
      </c>
      <c r="G120" s="2">
        <v>65926089522</v>
      </c>
      <c r="H120" s="2" t="s">
        <v>319</v>
      </c>
      <c r="I120" s="2" t="s">
        <v>320</v>
      </c>
      <c r="J120" s="3">
        <v>42583</v>
      </c>
      <c r="K120" s="2" t="s">
        <v>14</v>
      </c>
      <c r="L120" s="2" t="s">
        <v>1564</v>
      </c>
      <c r="M120" s="2" t="s">
        <v>1484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0</v>
      </c>
    </row>
    <row r="121" spans="1:19" ht="51.75" x14ac:dyDescent="0.25">
      <c r="A121" s="2">
        <v>10506021</v>
      </c>
      <c r="B121" s="2" t="s">
        <v>10</v>
      </c>
      <c r="C121" s="2" t="s">
        <v>3122</v>
      </c>
      <c r="D121" s="2" t="s">
        <v>3122</v>
      </c>
      <c r="E121" s="2" t="s">
        <v>2772</v>
      </c>
      <c r="F121" s="2" t="s">
        <v>3384</v>
      </c>
      <c r="G121" s="2">
        <v>41140746366</v>
      </c>
      <c r="H121" s="2" t="s">
        <v>321</v>
      </c>
      <c r="I121" s="2" t="s">
        <v>322</v>
      </c>
      <c r="J121" s="3">
        <v>40444</v>
      </c>
      <c r="K121" s="2" t="s">
        <v>14</v>
      </c>
      <c r="L121" s="2" t="s">
        <v>3182</v>
      </c>
      <c r="M121" s="2" t="s">
        <v>1486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ht="26.25" x14ac:dyDescent="0.25">
      <c r="A122" s="2">
        <v>15534013</v>
      </c>
      <c r="B122" s="2" t="s">
        <v>10</v>
      </c>
      <c r="C122" s="2" t="s">
        <v>32</v>
      </c>
      <c r="D122" s="2" t="s">
        <v>196</v>
      </c>
      <c r="E122" s="2" t="s">
        <v>2773</v>
      </c>
      <c r="F122" s="2" t="s">
        <v>3385</v>
      </c>
      <c r="G122" s="2">
        <v>48124070264</v>
      </c>
      <c r="H122" s="2" t="s">
        <v>323</v>
      </c>
      <c r="I122" s="2" t="s">
        <v>324</v>
      </c>
      <c r="J122" s="3">
        <v>42188</v>
      </c>
      <c r="K122" s="2" t="s">
        <v>14</v>
      </c>
      <c r="L122" s="2" t="s">
        <v>1565</v>
      </c>
      <c r="M122" s="2" t="s">
        <v>1484</v>
      </c>
      <c r="N122" s="2">
        <v>0</v>
      </c>
      <c r="O122" s="2">
        <v>0</v>
      </c>
      <c r="P122" s="2">
        <v>1</v>
      </c>
      <c r="Q122" s="2">
        <v>0</v>
      </c>
      <c r="R122" s="2">
        <v>0</v>
      </c>
      <c r="S122" s="2">
        <v>0</v>
      </c>
    </row>
    <row r="123" spans="1:19" ht="39" x14ac:dyDescent="0.25">
      <c r="A123" s="2">
        <v>14557008</v>
      </c>
      <c r="B123" s="2" t="s">
        <v>10</v>
      </c>
      <c r="C123" s="2" t="s">
        <v>209</v>
      </c>
      <c r="D123" s="2" t="s">
        <v>325</v>
      </c>
      <c r="E123" s="2" t="s">
        <v>2774</v>
      </c>
      <c r="F123" s="2" t="s">
        <v>3386</v>
      </c>
      <c r="G123" s="2">
        <v>26215452748</v>
      </c>
      <c r="H123" s="2" t="s">
        <v>326</v>
      </c>
      <c r="I123" s="2" t="s">
        <v>327</v>
      </c>
      <c r="J123" s="3">
        <v>41879</v>
      </c>
      <c r="K123" s="2" t="s">
        <v>14</v>
      </c>
      <c r="L123" s="2" t="s">
        <v>1566</v>
      </c>
      <c r="M123" s="2" t="s">
        <v>1484</v>
      </c>
      <c r="N123" s="2">
        <v>0</v>
      </c>
      <c r="O123" s="2">
        <v>0</v>
      </c>
      <c r="P123" s="2">
        <v>1</v>
      </c>
      <c r="Q123" s="2">
        <v>0</v>
      </c>
      <c r="R123" s="2">
        <v>0</v>
      </c>
      <c r="S123" s="2">
        <v>0</v>
      </c>
    </row>
    <row r="124" spans="1:19" ht="26.25" x14ac:dyDescent="0.25">
      <c r="A124" s="2">
        <v>14552008</v>
      </c>
      <c r="B124" s="2" t="s">
        <v>10</v>
      </c>
      <c r="C124" s="2" t="s">
        <v>3119</v>
      </c>
      <c r="D124" s="2" t="s">
        <v>19</v>
      </c>
      <c r="E124" s="2" t="s">
        <v>2775</v>
      </c>
      <c r="F124" s="2" t="s">
        <v>3387</v>
      </c>
      <c r="G124" s="2">
        <v>57976440170</v>
      </c>
      <c r="H124" s="2" t="s">
        <v>328</v>
      </c>
      <c r="I124" s="2" t="s">
        <v>329</v>
      </c>
      <c r="J124" s="3">
        <v>41879</v>
      </c>
      <c r="K124" s="2" t="s">
        <v>14</v>
      </c>
      <c r="L124" s="2" t="s">
        <v>3159</v>
      </c>
      <c r="M124" s="2" t="s">
        <v>1484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0</v>
      </c>
    </row>
    <row r="125" spans="1:19" ht="26.25" x14ac:dyDescent="0.25">
      <c r="A125" s="2">
        <v>11502104</v>
      </c>
      <c r="B125" s="2" t="s">
        <v>10</v>
      </c>
      <c r="C125" s="2" t="s">
        <v>3132</v>
      </c>
      <c r="D125" s="2" t="s">
        <v>3132</v>
      </c>
      <c r="E125" s="2" t="s">
        <v>2776</v>
      </c>
      <c r="F125" s="2" t="s">
        <v>3388</v>
      </c>
      <c r="G125" s="2">
        <v>62626302388</v>
      </c>
      <c r="H125" s="2" t="s">
        <v>330</v>
      </c>
      <c r="I125" s="2" t="s">
        <v>331</v>
      </c>
      <c r="J125" s="3">
        <v>40953</v>
      </c>
      <c r="K125" s="2" t="s">
        <v>14</v>
      </c>
      <c r="L125" s="2" t="s">
        <v>1567</v>
      </c>
      <c r="M125" s="2" t="s">
        <v>1486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ht="26.25" x14ac:dyDescent="0.25">
      <c r="A126" s="2">
        <v>15536011</v>
      </c>
      <c r="B126" s="2" t="s">
        <v>10</v>
      </c>
      <c r="C126" s="2" t="s">
        <v>32</v>
      </c>
      <c r="D126" s="2" t="s">
        <v>299</v>
      </c>
      <c r="E126" s="2" t="s">
        <v>332</v>
      </c>
      <c r="F126" s="2" t="s">
        <v>3389</v>
      </c>
      <c r="G126" s="2">
        <v>41305432912</v>
      </c>
      <c r="H126" s="2" t="s">
        <v>333</v>
      </c>
      <c r="I126" s="2" t="s">
        <v>334</v>
      </c>
      <c r="J126" s="3">
        <v>42184</v>
      </c>
      <c r="K126" s="2" t="s">
        <v>14</v>
      </c>
      <c r="L126" s="2" t="s">
        <v>1568</v>
      </c>
      <c r="M126" s="2" t="s">
        <v>1484</v>
      </c>
      <c r="N126" s="2">
        <v>0</v>
      </c>
      <c r="O126" s="2">
        <v>0</v>
      </c>
      <c r="P126" s="2">
        <v>1</v>
      </c>
      <c r="Q126" s="2">
        <v>0</v>
      </c>
      <c r="R126" s="2">
        <v>0</v>
      </c>
      <c r="S126" s="2">
        <v>0</v>
      </c>
    </row>
    <row r="127" spans="1:19" ht="26.25" x14ac:dyDescent="0.25">
      <c r="A127" s="2">
        <v>12558007</v>
      </c>
      <c r="B127" s="2" t="s">
        <v>10</v>
      </c>
      <c r="C127" s="2" t="s">
        <v>209</v>
      </c>
      <c r="D127" s="2" t="s">
        <v>281</v>
      </c>
      <c r="E127" s="2" t="s">
        <v>2777</v>
      </c>
      <c r="F127" s="2" t="s">
        <v>3390</v>
      </c>
      <c r="G127" s="2">
        <v>45463390824</v>
      </c>
      <c r="H127" s="2" t="s">
        <v>335</v>
      </c>
      <c r="I127" s="2" t="s">
        <v>336</v>
      </c>
      <c r="J127" s="3">
        <v>41165</v>
      </c>
      <c r="K127" s="2" t="s">
        <v>14</v>
      </c>
      <c r="L127" s="2" t="s">
        <v>1569</v>
      </c>
      <c r="M127" s="2" t="s">
        <v>1486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ht="39" x14ac:dyDescent="0.25">
      <c r="A128" s="2">
        <v>15535010</v>
      </c>
      <c r="B128" s="2" t="s">
        <v>10</v>
      </c>
      <c r="C128" s="2" t="s">
        <v>32</v>
      </c>
      <c r="D128" s="2" t="s">
        <v>45</v>
      </c>
      <c r="E128" s="2" t="s">
        <v>2778</v>
      </c>
      <c r="F128" s="2" t="s">
        <v>3391</v>
      </c>
      <c r="G128" s="2">
        <v>35350588816</v>
      </c>
      <c r="H128" s="2" t="s">
        <v>337</v>
      </c>
      <c r="I128" s="2" t="s">
        <v>338</v>
      </c>
      <c r="J128" s="3">
        <v>42389</v>
      </c>
      <c r="K128" s="2" t="s">
        <v>14</v>
      </c>
      <c r="L128" s="2" t="s">
        <v>1570</v>
      </c>
      <c r="M128" s="2" t="s">
        <v>1484</v>
      </c>
      <c r="N128" s="2">
        <v>0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</row>
    <row r="129" spans="1:19" ht="26.25" x14ac:dyDescent="0.25">
      <c r="A129" s="2">
        <v>14533017</v>
      </c>
      <c r="B129" s="2" t="s">
        <v>10</v>
      </c>
      <c r="C129" s="2" t="s">
        <v>32</v>
      </c>
      <c r="D129" s="2" t="s">
        <v>132</v>
      </c>
      <c r="E129" s="2" t="s">
        <v>2779</v>
      </c>
      <c r="F129" s="2" t="s">
        <v>3392</v>
      </c>
      <c r="G129" s="2">
        <v>53401010420</v>
      </c>
      <c r="H129" s="2" t="s">
        <v>339</v>
      </c>
      <c r="I129" s="2" t="s">
        <v>340</v>
      </c>
      <c r="J129" s="3">
        <v>42013</v>
      </c>
      <c r="K129" s="2" t="s">
        <v>14</v>
      </c>
      <c r="L129" s="2" t="s">
        <v>1571</v>
      </c>
      <c r="M129" s="2" t="s">
        <v>1484</v>
      </c>
      <c r="N129" s="2">
        <v>0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</row>
    <row r="130" spans="1:19" ht="26.25" x14ac:dyDescent="0.25">
      <c r="A130" s="2">
        <v>14536005</v>
      </c>
      <c r="B130" s="2" t="s">
        <v>10</v>
      </c>
      <c r="C130" s="2" t="s">
        <v>32</v>
      </c>
      <c r="D130" s="2" t="s">
        <v>299</v>
      </c>
      <c r="E130" s="2" t="s">
        <v>2780</v>
      </c>
      <c r="F130" s="2" t="s">
        <v>3393</v>
      </c>
      <c r="G130" s="2">
        <v>27275064698</v>
      </c>
      <c r="H130" s="2" t="s">
        <v>341</v>
      </c>
      <c r="I130" s="2" t="s">
        <v>342</v>
      </c>
      <c r="J130" s="3">
        <v>41823</v>
      </c>
      <c r="K130" s="2" t="s">
        <v>14</v>
      </c>
      <c r="L130" s="2" t="s">
        <v>1572</v>
      </c>
      <c r="M130" s="2" t="s">
        <v>1484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</row>
    <row r="131" spans="1:19" ht="26.25" x14ac:dyDescent="0.25">
      <c r="A131" s="2">
        <v>9535104</v>
      </c>
      <c r="B131" s="2" t="s">
        <v>10</v>
      </c>
      <c r="C131" s="2" t="s">
        <v>32</v>
      </c>
      <c r="D131" s="2" t="s">
        <v>45</v>
      </c>
      <c r="E131" s="2" t="s">
        <v>343</v>
      </c>
      <c r="F131" s="2" t="s">
        <v>3394</v>
      </c>
      <c r="G131" s="2">
        <v>15347374622</v>
      </c>
      <c r="H131" s="2" t="s">
        <v>344</v>
      </c>
      <c r="I131" s="2" t="s">
        <v>345</v>
      </c>
      <c r="J131" s="3">
        <v>40227</v>
      </c>
      <c r="K131" s="2" t="s">
        <v>14</v>
      </c>
      <c r="L131" s="2" t="s">
        <v>1543</v>
      </c>
      <c r="M131" s="2" t="s">
        <v>1486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ht="26.25" x14ac:dyDescent="0.25">
      <c r="A132" s="2">
        <v>16552010</v>
      </c>
      <c r="B132" s="2" t="s">
        <v>10</v>
      </c>
      <c r="C132" s="2" t="s">
        <v>3119</v>
      </c>
      <c r="D132" s="2" t="s">
        <v>19</v>
      </c>
      <c r="E132" s="2" t="s">
        <v>2781</v>
      </c>
      <c r="F132" s="2" t="s">
        <v>3395</v>
      </c>
      <c r="G132" s="2">
        <v>26086666640</v>
      </c>
      <c r="H132" s="2" t="s">
        <v>346</v>
      </c>
      <c r="I132" s="2" t="s">
        <v>347</v>
      </c>
      <c r="J132" s="3">
        <v>42586</v>
      </c>
      <c r="K132" s="2" t="s">
        <v>110</v>
      </c>
      <c r="L132" s="2" t="s">
        <v>3183</v>
      </c>
      <c r="M132" s="2" t="s">
        <v>1484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0</v>
      </c>
    </row>
    <row r="133" spans="1:19" ht="39" x14ac:dyDescent="0.25">
      <c r="A133" s="2">
        <v>13519015</v>
      </c>
      <c r="B133" s="2" t="s">
        <v>66</v>
      </c>
      <c r="C133" s="2" t="s">
        <v>167</v>
      </c>
      <c r="D133" s="2" t="s">
        <v>348</v>
      </c>
      <c r="E133" s="2" t="s">
        <v>2782</v>
      </c>
      <c r="F133" s="2" t="s">
        <v>3396</v>
      </c>
      <c r="G133" s="2">
        <v>38593609362</v>
      </c>
      <c r="H133" s="2" t="s">
        <v>349</v>
      </c>
      <c r="I133" s="2" t="s">
        <v>350</v>
      </c>
      <c r="J133" s="3">
        <v>41520</v>
      </c>
      <c r="K133" s="2" t="s">
        <v>14</v>
      </c>
      <c r="L133" s="2" t="s">
        <v>1573</v>
      </c>
      <c r="M133" s="2" t="s">
        <v>1484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</v>
      </c>
    </row>
    <row r="134" spans="1:19" ht="26.25" x14ac:dyDescent="0.25">
      <c r="A134" s="2">
        <v>9532105</v>
      </c>
      <c r="B134" s="2" t="s">
        <v>10</v>
      </c>
      <c r="C134" s="2" t="s">
        <v>32</v>
      </c>
      <c r="D134" s="2" t="s">
        <v>33</v>
      </c>
      <c r="E134" s="2" t="s">
        <v>2783</v>
      </c>
      <c r="F134" s="2" t="s">
        <v>3397</v>
      </c>
      <c r="G134" s="2">
        <v>15353374494</v>
      </c>
      <c r="H134" s="2" t="s">
        <v>351</v>
      </c>
      <c r="I134" s="2" t="s">
        <v>352</v>
      </c>
      <c r="J134" s="3">
        <v>40227</v>
      </c>
      <c r="K134" s="2" t="s">
        <v>14</v>
      </c>
      <c r="L134" s="2" t="s">
        <v>1574</v>
      </c>
      <c r="M134" s="2" t="s">
        <v>1486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ht="26.25" x14ac:dyDescent="0.25">
      <c r="A135" s="2">
        <v>15504018</v>
      </c>
      <c r="B135" s="2" t="s">
        <v>10</v>
      </c>
      <c r="C135" s="2" t="s">
        <v>3123</v>
      </c>
      <c r="D135" s="2" t="s">
        <v>52</v>
      </c>
      <c r="E135" s="2" t="s">
        <v>353</v>
      </c>
      <c r="F135" s="2" t="s">
        <v>3398</v>
      </c>
      <c r="G135" s="2">
        <v>24665210512</v>
      </c>
      <c r="H135" s="2" t="s">
        <v>354</v>
      </c>
      <c r="I135" s="2" t="s">
        <v>355</v>
      </c>
      <c r="J135" s="3">
        <v>42187</v>
      </c>
      <c r="K135" s="2" t="s">
        <v>14</v>
      </c>
      <c r="L135" s="2" t="s">
        <v>1528</v>
      </c>
      <c r="M135" s="2" t="s">
        <v>1484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</row>
    <row r="136" spans="1:19" ht="39" x14ac:dyDescent="0.25">
      <c r="A136" s="2">
        <v>16506010</v>
      </c>
      <c r="B136" s="2" t="s">
        <v>10</v>
      </c>
      <c r="C136" s="2" t="s">
        <v>3122</v>
      </c>
      <c r="D136" s="2" t="s">
        <v>3122</v>
      </c>
      <c r="E136" s="2" t="s">
        <v>2784</v>
      </c>
      <c r="F136" s="2" t="s">
        <v>3399</v>
      </c>
      <c r="G136" s="2">
        <v>43405502946</v>
      </c>
      <c r="H136" s="2" t="s">
        <v>356</v>
      </c>
      <c r="I136" s="2" t="s">
        <v>357</v>
      </c>
      <c r="J136" s="3">
        <v>42584</v>
      </c>
      <c r="K136" s="2" t="s">
        <v>14</v>
      </c>
      <c r="L136" s="2" t="s">
        <v>1575</v>
      </c>
      <c r="M136" s="2" t="s">
        <v>1484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0</v>
      </c>
    </row>
    <row r="137" spans="1:19" ht="39" x14ac:dyDescent="0.25">
      <c r="A137" s="2">
        <v>15552001</v>
      </c>
      <c r="B137" s="2" t="s">
        <v>10</v>
      </c>
      <c r="C137" s="2" t="s">
        <v>3119</v>
      </c>
      <c r="D137" s="2" t="s">
        <v>19</v>
      </c>
      <c r="E137" s="2" t="s">
        <v>2785</v>
      </c>
      <c r="F137" s="2" t="s">
        <v>3400</v>
      </c>
      <c r="G137" s="2">
        <v>37687290776</v>
      </c>
      <c r="H137" s="2" t="s">
        <v>358</v>
      </c>
      <c r="I137" s="2"/>
      <c r="J137" s="3">
        <v>42180</v>
      </c>
      <c r="K137" s="2" t="s">
        <v>14</v>
      </c>
      <c r="L137" s="2" t="s">
        <v>1576</v>
      </c>
      <c r="M137" s="2" t="s">
        <v>1484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0</v>
      </c>
    </row>
    <row r="138" spans="1:19" ht="39" x14ac:dyDescent="0.25">
      <c r="A138" s="2">
        <v>14523033</v>
      </c>
      <c r="B138" s="2" t="s">
        <v>10</v>
      </c>
      <c r="C138" s="2" t="s">
        <v>3119</v>
      </c>
      <c r="D138" s="2" t="s">
        <v>129</v>
      </c>
      <c r="E138" s="2" t="s">
        <v>359</v>
      </c>
      <c r="F138" s="2" t="s">
        <v>3401</v>
      </c>
      <c r="G138" s="2">
        <v>15695110132</v>
      </c>
      <c r="H138" s="2" t="s">
        <v>360</v>
      </c>
      <c r="I138" s="2" t="s">
        <v>361</v>
      </c>
      <c r="J138" s="3">
        <v>42041</v>
      </c>
      <c r="K138" s="2" t="s">
        <v>14</v>
      </c>
      <c r="L138" s="2" t="s">
        <v>1577</v>
      </c>
      <c r="M138" s="2" t="s">
        <v>1484</v>
      </c>
      <c r="N138" s="2">
        <v>0</v>
      </c>
      <c r="O138" s="2">
        <v>0</v>
      </c>
      <c r="P138" s="2">
        <v>0</v>
      </c>
      <c r="Q138" s="2">
        <v>0</v>
      </c>
      <c r="R138" s="2">
        <v>1</v>
      </c>
      <c r="S138" s="2">
        <v>0</v>
      </c>
    </row>
    <row r="139" spans="1:19" ht="51.75" x14ac:dyDescent="0.25">
      <c r="A139" s="2">
        <v>14528009</v>
      </c>
      <c r="B139" s="2" t="s">
        <v>10</v>
      </c>
      <c r="C139" s="2" t="s">
        <v>3124</v>
      </c>
      <c r="D139" s="2" t="s">
        <v>362</v>
      </c>
      <c r="E139" s="2" t="s">
        <v>2786</v>
      </c>
      <c r="F139" s="2" t="s">
        <v>3402</v>
      </c>
      <c r="G139" s="2">
        <v>63721369726</v>
      </c>
      <c r="H139" s="2" t="s">
        <v>363</v>
      </c>
      <c r="I139" s="2" t="s">
        <v>364</v>
      </c>
      <c r="J139" s="3">
        <v>42041</v>
      </c>
      <c r="K139" s="2" t="s">
        <v>158</v>
      </c>
      <c r="L139" s="2" t="s">
        <v>1578</v>
      </c>
      <c r="M139" s="2" t="s">
        <v>1484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</row>
    <row r="140" spans="1:19" ht="39" x14ac:dyDescent="0.25">
      <c r="A140" s="2">
        <v>11558005</v>
      </c>
      <c r="B140" s="2" t="s">
        <v>10</v>
      </c>
      <c r="C140" s="2" t="s">
        <v>209</v>
      </c>
      <c r="D140" s="2" t="s">
        <v>210</v>
      </c>
      <c r="E140" s="2" t="s">
        <v>365</v>
      </c>
      <c r="F140" s="2" t="s">
        <v>3403</v>
      </c>
      <c r="G140" s="2">
        <v>55381542014</v>
      </c>
      <c r="H140" s="2" t="s">
        <v>366</v>
      </c>
      <c r="I140" s="2" t="s">
        <v>367</v>
      </c>
      <c r="J140" s="3">
        <v>40806</v>
      </c>
      <c r="K140" s="2" t="s">
        <v>14</v>
      </c>
      <c r="L140" s="2" t="s">
        <v>1579</v>
      </c>
      <c r="M140" s="2" t="s">
        <v>1486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ht="26.25" x14ac:dyDescent="0.25">
      <c r="A141" s="2" t="s">
        <v>369</v>
      </c>
      <c r="B141" s="2" t="s">
        <v>10</v>
      </c>
      <c r="C141" s="2" t="s">
        <v>3144</v>
      </c>
      <c r="D141" s="2" t="s">
        <v>368</v>
      </c>
      <c r="E141" s="2" t="s">
        <v>3145</v>
      </c>
      <c r="F141" s="2" t="s">
        <v>3404</v>
      </c>
      <c r="G141" s="2">
        <v>35011702414</v>
      </c>
      <c r="H141" s="2" t="s">
        <v>370</v>
      </c>
      <c r="I141" s="2" t="s">
        <v>371</v>
      </c>
      <c r="J141" s="3">
        <v>42583</v>
      </c>
      <c r="K141" s="2" t="s">
        <v>14</v>
      </c>
      <c r="L141" s="2" t="s">
        <v>1580</v>
      </c>
      <c r="M141" s="2" t="s">
        <v>1484</v>
      </c>
      <c r="N141" s="2">
        <v>0</v>
      </c>
      <c r="O141" s="2">
        <v>0</v>
      </c>
      <c r="P141" s="2">
        <v>0</v>
      </c>
      <c r="Q141" s="2">
        <v>0</v>
      </c>
      <c r="R141" s="2">
        <v>1</v>
      </c>
      <c r="S141" s="2">
        <v>0</v>
      </c>
    </row>
    <row r="142" spans="1:19" ht="39" x14ac:dyDescent="0.25">
      <c r="A142" s="2">
        <v>14570007</v>
      </c>
      <c r="B142" s="2" t="s">
        <v>66</v>
      </c>
      <c r="C142" s="2" t="s">
        <v>3127</v>
      </c>
      <c r="D142" s="2" t="s">
        <v>3127</v>
      </c>
      <c r="E142" s="2" t="s">
        <v>2787</v>
      </c>
      <c r="F142" s="2" t="s">
        <v>3405</v>
      </c>
      <c r="G142" s="2">
        <v>16937330776</v>
      </c>
      <c r="H142" s="2" t="s">
        <v>372</v>
      </c>
      <c r="I142" s="2" t="s">
        <v>373</v>
      </c>
      <c r="J142" s="3">
        <v>41827</v>
      </c>
      <c r="K142" s="2" t="s">
        <v>14</v>
      </c>
      <c r="L142" s="2" t="s">
        <v>3184</v>
      </c>
      <c r="M142" s="2" t="s">
        <v>1484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1</v>
      </c>
    </row>
    <row r="143" spans="1:19" ht="26.25" x14ac:dyDescent="0.25">
      <c r="A143" s="2">
        <v>15534004</v>
      </c>
      <c r="B143" s="2" t="s">
        <v>10</v>
      </c>
      <c r="C143" s="2" t="s">
        <v>32</v>
      </c>
      <c r="D143" s="2" t="s">
        <v>196</v>
      </c>
      <c r="E143" s="2" t="s">
        <v>2788</v>
      </c>
      <c r="F143" s="2" t="s">
        <v>3406</v>
      </c>
      <c r="G143" s="2">
        <v>16603430328</v>
      </c>
      <c r="H143" s="2" t="s">
        <v>374</v>
      </c>
      <c r="I143" s="2" t="s">
        <v>375</v>
      </c>
      <c r="J143" s="3">
        <v>42184</v>
      </c>
      <c r="K143" s="2" t="s">
        <v>14</v>
      </c>
      <c r="L143" s="2" t="s">
        <v>1581</v>
      </c>
      <c r="M143" s="2" t="s">
        <v>1484</v>
      </c>
      <c r="N143" s="2">
        <v>0</v>
      </c>
      <c r="O143" s="2">
        <v>0</v>
      </c>
      <c r="P143" s="2">
        <v>0</v>
      </c>
      <c r="Q143" s="2">
        <v>0</v>
      </c>
      <c r="R143" s="2">
        <v>1</v>
      </c>
      <c r="S143" s="2">
        <v>0</v>
      </c>
    </row>
    <row r="144" spans="1:19" ht="26.25" x14ac:dyDescent="0.25">
      <c r="A144" s="2">
        <v>9534005</v>
      </c>
      <c r="B144" s="2" t="s">
        <v>10</v>
      </c>
      <c r="C144" s="2" t="s">
        <v>32</v>
      </c>
      <c r="D144" s="2" t="s">
        <v>196</v>
      </c>
      <c r="E144" s="2" t="s">
        <v>2789</v>
      </c>
      <c r="F144" s="2" t="s">
        <v>3407</v>
      </c>
      <c r="G144" s="2">
        <v>26177492288</v>
      </c>
      <c r="H144" s="2" t="s">
        <v>376</v>
      </c>
      <c r="I144" s="2" t="s">
        <v>377</v>
      </c>
      <c r="J144" s="3">
        <v>40074</v>
      </c>
      <c r="K144" s="2" t="s">
        <v>14</v>
      </c>
      <c r="L144" s="2" t="s">
        <v>3185</v>
      </c>
      <c r="M144" s="2" t="s">
        <v>1486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ht="26.25" x14ac:dyDescent="0.25">
      <c r="A145" s="2">
        <v>12504012</v>
      </c>
      <c r="B145" s="2" t="s">
        <v>10</v>
      </c>
      <c r="C145" s="2" t="s">
        <v>3117</v>
      </c>
      <c r="D145" s="2" t="s">
        <v>3133</v>
      </c>
      <c r="E145" s="2" t="s">
        <v>2790</v>
      </c>
      <c r="F145" s="2" t="s">
        <v>3408</v>
      </c>
      <c r="G145" s="2">
        <v>24769361592</v>
      </c>
      <c r="H145" s="2" t="s">
        <v>378</v>
      </c>
      <c r="I145" s="2" t="s">
        <v>379</v>
      </c>
      <c r="J145" s="3">
        <v>41163</v>
      </c>
      <c r="K145" s="2" t="s">
        <v>14</v>
      </c>
      <c r="L145" s="2" t="s">
        <v>3186</v>
      </c>
      <c r="M145" s="2" t="s">
        <v>1486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ht="39" x14ac:dyDescent="0.25">
      <c r="A146" s="2">
        <v>15550022</v>
      </c>
      <c r="B146" s="2" t="s">
        <v>10</v>
      </c>
      <c r="C146" s="2" t="s">
        <v>3120</v>
      </c>
      <c r="D146" s="2" t="s">
        <v>22</v>
      </c>
      <c r="E146" s="2" t="s">
        <v>2791</v>
      </c>
      <c r="F146" s="2" t="s">
        <v>3409</v>
      </c>
      <c r="G146" s="2">
        <v>18433878912</v>
      </c>
      <c r="H146" s="2" t="s">
        <v>380</v>
      </c>
      <c r="I146" s="2" t="s">
        <v>381</v>
      </c>
      <c r="J146" s="3">
        <v>42391</v>
      </c>
      <c r="K146" s="2" t="s">
        <v>14</v>
      </c>
      <c r="L146" s="2" t="s">
        <v>1582</v>
      </c>
      <c r="M146" s="2" t="s">
        <v>1484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</row>
    <row r="147" spans="1:19" ht="26.25" x14ac:dyDescent="0.25">
      <c r="A147" s="2">
        <v>14532025</v>
      </c>
      <c r="B147" s="2" t="s">
        <v>10</v>
      </c>
      <c r="C147" s="2" t="s">
        <v>32</v>
      </c>
      <c r="D147" s="2" t="s">
        <v>33</v>
      </c>
      <c r="E147" s="2" t="s">
        <v>2792</v>
      </c>
      <c r="F147" s="2" t="s">
        <v>3410</v>
      </c>
      <c r="G147" s="2">
        <v>14786150798</v>
      </c>
      <c r="H147" s="2" t="s">
        <v>382</v>
      </c>
      <c r="I147" s="2" t="s">
        <v>383</v>
      </c>
      <c r="J147" s="3">
        <v>42013</v>
      </c>
      <c r="K147" s="2" t="s">
        <v>14</v>
      </c>
      <c r="L147" s="2" t="s">
        <v>1583</v>
      </c>
      <c r="M147" s="2" t="s">
        <v>1484</v>
      </c>
      <c r="N147" s="2">
        <v>0</v>
      </c>
      <c r="O147" s="2">
        <v>0</v>
      </c>
      <c r="P147" s="2">
        <v>1</v>
      </c>
      <c r="Q147" s="2">
        <v>0</v>
      </c>
      <c r="R147" s="2">
        <v>0</v>
      </c>
      <c r="S147" s="2">
        <v>0</v>
      </c>
    </row>
    <row r="148" spans="1:19" ht="39" x14ac:dyDescent="0.25">
      <c r="A148" s="2">
        <v>16572002</v>
      </c>
      <c r="B148" s="2" t="s">
        <v>10</v>
      </c>
      <c r="C148" s="2" t="s">
        <v>167</v>
      </c>
      <c r="D148" s="2" t="s">
        <v>384</v>
      </c>
      <c r="E148" s="2" t="s">
        <v>2793</v>
      </c>
      <c r="F148" s="2" t="s">
        <v>3411</v>
      </c>
      <c r="G148" s="2">
        <v>11903620226</v>
      </c>
      <c r="H148" s="2" t="s">
        <v>385</v>
      </c>
      <c r="I148" s="2" t="s">
        <v>386</v>
      </c>
      <c r="J148" s="3">
        <v>42586</v>
      </c>
      <c r="K148" s="2" t="s">
        <v>14</v>
      </c>
      <c r="L148" s="2" t="s">
        <v>1584</v>
      </c>
      <c r="M148" s="2" t="s">
        <v>1484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</row>
    <row r="149" spans="1:19" ht="39" x14ac:dyDescent="0.25">
      <c r="A149" s="2">
        <v>15520053</v>
      </c>
      <c r="B149" s="2" t="s">
        <v>10</v>
      </c>
      <c r="C149" s="2" t="s">
        <v>3118</v>
      </c>
      <c r="D149" s="2" t="s">
        <v>3118</v>
      </c>
      <c r="E149" s="2" t="s">
        <v>2794</v>
      </c>
      <c r="F149" s="2" t="s">
        <v>3412</v>
      </c>
      <c r="G149" s="2">
        <v>12761897898</v>
      </c>
      <c r="H149" s="2" t="s">
        <v>387</v>
      </c>
      <c r="I149" s="2" t="s">
        <v>388</v>
      </c>
      <c r="J149" s="3">
        <v>42391</v>
      </c>
      <c r="K149" s="2" t="s">
        <v>14</v>
      </c>
      <c r="L149" s="2" t="s">
        <v>1585</v>
      </c>
      <c r="M149" s="2" t="s">
        <v>1484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</row>
    <row r="150" spans="1:19" ht="26.25" x14ac:dyDescent="0.25">
      <c r="A150" s="2">
        <v>16505009</v>
      </c>
      <c r="B150" s="2" t="s">
        <v>10</v>
      </c>
      <c r="C150" s="2" t="s">
        <v>3123</v>
      </c>
      <c r="D150" s="2" t="s">
        <v>70</v>
      </c>
      <c r="E150" s="2" t="s">
        <v>2795</v>
      </c>
      <c r="F150" s="2" t="s">
        <v>3413</v>
      </c>
      <c r="G150" s="2">
        <v>36598770780</v>
      </c>
      <c r="H150" s="2" t="s">
        <v>389</v>
      </c>
      <c r="I150" s="2" t="s">
        <v>390</v>
      </c>
      <c r="J150" s="3">
        <v>42583</v>
      </c>
      <c r="K150" s="2" t="s">
        <v>14</v>
      </c>
      <c r="L150" s="2" t="s">
        <v>3187</v>
      </c>
      <c r="M150" s="2" t="s">
        <v>1484</v>
      </c>
      <c r="N150" s="2">
        <v>0</v>
      </c>
      <c r="O150" s="2">
        <v>0</v>
      </c>
      <c r="P150" s="2">
        <v>0</v>
      </c>
      <c r="Q150" s="2">
        <v>0</v>
      </c>
      <c r="R150" s="2">
        <v>1</v>
      </c>
      <c r="S150" s="2">
        <v>0</v>
      </c>
    </row>
    <row r="151" spans="1:19" ht="39" x14ac:dyDescent="0.25">
      <c r="A151" s="2">
        <v>15506017</v>
      </c>
      <c r="B151" s="2" t="s">
        <v>10</v>
      </c>
      <c r="C151" s="2" t="s">
        <v>3122</v>
      </c>
      <c r="D151" s="2" t="s">
        <v>3122</v>
      </c>
      <c r="E151" s="2" t="s">
        <v>391</v>
      </c>
      <c r="F151" s="2" t="s">
        <v>3414</v>
      </c>
      <c r="G151" s="2">
        <v>27634984384</v>
      </c>
      <c r="H151" s="2" t="s">
        <v>392</v>
      </c>
      <c r="I151" s="2" t="s">
        <v>393</v>
      </c>
      <c r="J151" s="3">
        <v>42187</v>
      </c>
      <c r="K151" s="2" t="s">
        <v>14</v>
      </c>
      <c r="L151" s="2" t="s">
        <v>1586</v>
      </c>
      <c r="M151" s="2" t="s">
        <v>1484</v>
      </c>
      <c r="N151" s="2">
        <v>0</v>
      </c>
      <c r="O151" s="2">
        <v>0</v>
      </c>
      <c r="P151" s="2">
        <v>1</v>
      </c>
      <c r="Q151" s="2">
        <v>0</v>
      </c>
      <c r="R151" s="2">
        <v>0</v>
      </c>
      <c r="S151" s="2">
        <v>0</v>
      </c>
    </row>
    <row r="152" spans="1:19" ht="39" x14ac:dyDescent="0.25">
      <c r="A152" s="2">
        <v>9534015</v>
      </c>
      <c r="B152" s="2" t="s">
        <v>10</v>
      </c>
      <c r="C152" s="2" t="s">
        <v>32</v>
      </c>
      <c r="D152" s="2" t="s">
        <v>196</v>
      </c>
      <c r="E152" s="2" t="s">
        <v>2796</v>
      </c>
      <c r="F152" s="2" t="s">
        <v>3415</v>
      </c>
      <c r="G152" s="2">
        <v>25886188826</v>
      </c>
      <c r="H152" s="2" t="s">
        <v>394</v>
      </c>
      <c r="I152" s="2" t="s">
        <v>395</v>
      </c>
      <c r="J152" s="3">
        <v>40080</v>
      </c>
      <c r="K152" s="2" t="s">
        <v>14</v>
      </c>
      <c r="L152" s="2" t="s">
        <v>1587</v>
      </c>
      <c r="M152" s="2" t="s">
        <v>1486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ht="26.25" x14ac:dyDescent="0.25">
      <c r="A153" s="2">
        <v>9529004</v>
      </c>
      <c r="B153" s="2" t="s">
        <v>10</v>
      </c>
      <c r="C153" s="2" t="s">
        <v>32</v>
      </c>
      <c r="D153" s="2" t="s">
        <v>141</v>
      </c>
      <c r="E153" s="2" t="s">
        <v>2797</v>
      </c>
      <c r="F153" s="2" t="s">
        <v>3416</v>
      </c>
      <c r="G153" s="2">
        <v>27995006558</v>
      </c>
      <c r="H153" s="2" t="s">
        <v>396</v>
      </c>
      <c r="I153" s="2" t="s">
        <v>397</v>
      </c>
      <c r="J153" s="3">
        <v>40074</v>
      </c>
      <c r="K153" s="2" t="s">
        <v>14</v>
      </c>
      <c r="L153" s="2" t="s">
        <v>1588</v>
      </c>
      <c r="M153" s="2" t="s">
        <v>1486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ht="39" x14ac:dyDescent="0.25">
      <c r="A154" s="2">
        <v>16535001</v>
      </c>
      <c r="B154" s="2" t="s">
        <v>10</v>
      </c>
      <c r="C154" s="2" t="s">
        <v>32</v>
      </c>
      <c r="D154" s="2" t="s">
        <v>45</v>
      </c>
      <c r="E154" s="2" t="s">
        <v>2798</v>
      </c>
      <c r="F154" s="2" t="s">
        <v>3417</v>
      </c>
      <c r="G154" s="2">
        <v>59776121570</v>
      </c>
      <c r="H154" s="2" t="s">
        <v>398</v>
      </c>
      <c r="I154" s="2" t="s">
        <v>399</v>
      </c>
      <c r="J154" s="3">
        <v>42583</v>
      </c>
      <c r="K154" s="2" t="s">
        <v>14</v>
      </c>
      <c r="L154" s="2" t="s">
        <v>3188</v>
      </c>
      <c r="M154" s="2" t="s">
        <v>1484</v>
      </c>
      <c r="N154" s="2">
        <v>0</v>
      </c>
      <c r="O154" s="2">
        <v>0</v>
      </c>
      <c r="P154" s="2">
        <v>0</v>
      </c>
      <c r="Q154" s="2">
        <v>0</v>
      </c>
      <c r="R154" s="2">
        <v>1</v>
      </c>
      <c r="S154" s="2">
        <v>0</v>
      </c>
    </row>
    <row r="155" spans="1:19" ht="26.25" x14ac:dyDescent="0.25">
      <c r="A155" s="2">
        <v>16512012</v>
      </c>
      <c r="B155" s="2" t="s">
        <v>10</v>
      </c>
      <c r="C155" s="2" t="s">
        <v>3128</v>
      </c>
      <c r="D155" s="2" t="s">
        <v>171</v>
      </c>
      <c r="E155" s="2" t="s">
        <v>400</v>
      </c>
      <c r="F155" s="2" t="s">
        <v>3418</v>
      </c>
      <c r="G155" s="2">
        <v>22964013940</v>
      </c>
      <c r="H155" s="2" t="s">
        <v>401</v>
      </c>
      <c r="I155" s="2" t="s">
        <v>402</v>
      </c>
      <c r="J155" s="3">
        <v>42586</v>
      </c>
      <c r="K155" s="2" t="s">
        <v>14</v>
      </c>
      <c r="L155" s="2" t="s">
        <v>3189</v>
      </c>
      <c r="M155" s="2" t="s">
        <v>1484</v>
      </c>
      <c r="N155" s="2">
        <v>0</v>
      </c>
      <c r="O155" s="2">
        <v>0</v>
      </c>
      <c r="P155" s="2">
        <v>0</v>
      </c>
      <c r="Q155" s="2">
        <v>0</v>
      </c>
      <c r="R155" s="2">
        <v>1</v>
      </c>
      <c r="S155" s="2">
        <v>0</v>
      </c>
    </row>
    <row r="156" spans="1:19" ht="39" x14ac:dyDescent="0.25">
      <c r="A156" s="2">
        <v>14523027</v>
      </c>
      <c r="B156" s="2" t="s">
        <v>10</v>
      </c>
      <c r="C156" s="2" t="s">
        <v>3119</v>
      </c>
      <c r="D156" s="2" t="s">
        <v>129</v>
      </c>
      <c r="E156" s="2" t="s">
        <v>2799</v>
      </c>
      <c r="F156" s="2" t="s">
        <v>3419</v>
      </c>
      <c r="G156" s="2">
        <v>22007533282</v>
      </c>
      <c r="H156" s="2" t="s">
        <v>403</v>
      </c>
      <c r="I156" s="2" t="s">
        <v>404</v>
      </c>
      <c r="J156" s="3">
        <v>42016</v>
      </c>
      <c r="K156" s="2" t="s">
        <v>14</v>
      </c>
      <c r="L156" s="2" t="s">
        <v>1589</v>
      </c>
      <c r="M156" s="2" t="s">
        <v>1484</v>
      </c>
      <c r="N156" s="2">
        <v>0</v>
      </c>
      <c r="O156" s="2">
        <v>0</v>
      </c>
      <c r="P156" s="2">
        <v>0</v>
      </c>
      <c r="Q156" s="2">
        <v>0</v>
      </c>
      <c r="R156" s="2">
        <v>1</v>
      </c>
      <c r="S156" s="2">
        <v>0</v>
      </c>
    </row>
    <row r="157" spans="1:19" ht="26.25" x14ac:dyDescent="0.25">
      <c r="A157" s="2">
        <v>14557012</v>
      </c>
      <c r="B157" s="2" t="s">
        <v>10</v>
      </c>
      <c r="C157" s="2" t="s">
        <v>209</v>
      </c>
      <c r="D157" s="2" t="s">
        <v>325</v>
      </c>
      <c r="E157" s="2" t="s">
        <v>405</v>
      </c>
      <c r="F157" s="2" t="s">
        <v>3420</v>
      </c>
      <c r="G157" s="2">
        <v>10346623634</v>
      </c>
      <c r="H157" s="2" t="s">
        <v>406</v>
      </c>
      <c r="I157" s="2" t="s">
        <v>407</v>
      </c>
      <c r="J157" s="3">
        <v>42016</v>
      </c>
      <c r="K157" s="2" t="s">
        <v>14</v>
      </c>
      <c r="L157" s="2" t="s">
        <v>3190</v>
      </c>
      <c r="M157" s="2" t="s">
        <v>1484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>
        <v>0</v>
      </c>
    </row>
    <row r="158" spans="1:19" ht="39" x14ac:dyDescent="0.25">
      <c r="A158" s="2">
        <v>15593005</v>
      </c>
      <c r="B158" s="2" t="s">
        <v>10</v>
      </c>
      <c r="C158" s="2" t="s">
        <v>408</v>
      </c>
      <c r="D158" s="2" t="s">
        <v>368</v>
      </c>
      <c r="E158" s="2" t="s">
        <v>2800</v>
      </c>
      <c r="F158" s="2" t="s">
        <v>3421</v>
      </c>
      <c r="G158" s="2">
        <v>49696254724</v>
      </c>
      <c r="H158" s="2" t="s">
        <v>409</v>
      </c>
      <c r="I158" s="2" t="s">
        <v>410</v>
      </c>
      <c r="J158" s="3">
        <v>42187</v>
      </c>
      <c r="K158" s="2" t="s">
        <v>14</v>
      </c>
      <c r="L158" s="2" t="s">
        <v>1590</v>
      </c>
      <c r="M158" s="2" t="s">
        <v>1484</v>
      </c>
      <c r="N158" s="2">
        <v>0</v>
      </c>
      <c r="O158" s="2">
        <v>0</v>
      </c>
      <c r="P158" s="2">
        <v>0</v>
      </c>
      <c r="Q158" s="2">
        <v>0</v>
      </c>
      <c r="R158" s="2">
        <v>1</v>
      </c>
      <c r="S158" s="2">
        <v>0</v>
      </c>
    </row>
    <row r="159" spans="1:19" ht="26.25" x14ac:dyDescent="0.25">
      <c r="A159" s="2">
        <v>16523006</v>
      </c>
      <c r="B159" s="2" t="s">
        <v>10</v>
      </c>
      <c r="C159" s="2" t="s">
        <v>3119</v>
      </c>
      <c r="D159" s="2" t="s">
        <v>129</v>
      </c>
      <c r="E159" s="2" t="s">
        <v>411</v>
      </c>
      <c r="F159" s="2" t="s">
        <v>3422</v>
      </c>
      <c r="G159" s="2">
        <v>16655811878</v>
      </c>
      <c r="H159" s="2" t="s">
        <v>412</v>
      </c>
      <c r="I159" s="2" t="s">
        <v>413</v>
      </c>
      <c r="J159" s="3">
        <v>42614</v>
      </c>
      <c r="K159" s="2" t="s">
        <v>14</v>
      </c>
      <c r="L159" s="2" t="s">
        <v>1591</v>
      </c>
      <c r="M159" s="2" t="s">
        <v>1484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s="2">
        <v>0</v>
      </c>
    </row>
    <row r="160" spans="1:19" ht="26.25" x14ac:dyDescent="0.25">
      <c r="A160" s="2">
        <v>16570021</v>
      </c>
      <c r="B160" s="2" t="s">
        <v>10</v>
      </c>
      <c r="C160" s="2" t="s">
        <v>3127</v>
      </c>
      <c r="D160" s="2" t="s">
        <v>3127</v>
      </c>
      <c r="E160" s="2" t="s">
        <v>2801</v>
      </c>
      <c r="F160" s="2" t="s">
        <v>3423</v>
      </c>
      <c r="G160" s="2">
        <v>61120180706</v>
      </c>
      <c r="H160" s="2" t="s">
        <v>414</v>
      </c>
      <c r="I160" s="2" t="s">
        <v>415</v>
      </c>
      <c r="J160" s="3">
        <v>42614</v>
      </c>
      <c r="K160" s="2" t="s">
        <v>14</v>
      </c>
      <c r="L160" s="2" t="s">
        <v>3191</v>
      </c>
      <c r="M160" s="2" t="s">
        <v>1484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</row>
    <row r="161" spans="1:19" ht="51.75" x14ac:dyDescent="0.25">
      <c r="A161" s="2">
        <v>11557004</v>
      </c>
      <c r="B161" s="2" t="s">
        <v>10</v>
      </c>
      <c r="C161" s="2" t="s">
        <v>209</v>
      </c>
      <c r="D161" s="2" t="s">
        <v>325</v>
      </c>
      <c r="E161" s="2" t="s">
        <v>416</v>
      </c>
      <c r="F161" s="2" t="s">
        <v>3424</v>
      </c>
      <c r="G161" s="2">
        <v>40657594460</v>
      </c>
      <c r="H161" s="2" t="s">
        <v>417</v>
      </c>
      <c r="I161" s="2" t="s">
        <v>418</v>
      </c>
      <c r="J161" s="3">
        <v>40806</v>
      </c>
      <c r="K161" s="2" t="s">
        <v>14</v>
      </c>
      <c r="L161" s="2" t="s">
        <v>1592</v>
      </c>
      <c r="M161" s="2" t="s">
        <v>1486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ht="26.25" x14ac:dyDescent="0.25">
      <c r="A162" s="2">
        <v>16504002</v>
      </c>
      <c r="B162" s="2" t="s">
        <v>10</v>
      </c>
      <c r="C162" s="2" t="s">
        <v>3123</v>
      </c>
      <c r="D162" s="2" t="s">
        <v>52</v>
      </c>
      <c r="E162" s="2" t="s">
        <v>419</v>
      </c>
      <c r="F162" s="2" t="s">
        <v>3425</v>
      </c>
      <c r="G162" s="2">
        <v>25181057728</v>
      </c>
      <c r="H162" s="2" t="s">
        <v>420</v>
      </c>
      <c r="I162" s="2" t="s">
        <v>421</v>
      </c>
      <c r="J162" s="3">
        <v>42583</v>
      </c>
      <c r="K162" s="2" t="s">
        <v>14</v>
      </c>
      <c r="L162" s="2" t="s">
        <v>3192</v>
      </c>
      <c r="M162" s="2" t="s">
        <v>1484</v>
      </c>
      <c r="N162" s="2">
        <v>0</v>
      </c>
      <c r="O162" s="2">
        <v>0</v>
      </c>
      <c r="P162" s="2">
        <v>1</v>
      </c>
      <c r="Q162" s="2">
        <v>0</v>
      </c>
      <c r="R162" s="2">
        <v>0</v>
      </c>
      <c r="S162" s="2">
        <v>0</v>
      </c>
    </row>
    <row r="163" spans="1:19" ht="26.25" x14ac:dyDescent="0.25">
      <c r="A163" s="2">
        <v>16535004</v>
      </c>
      <c r="B163" s="2" t="s">
        <v>10</v>
      </c>
      <c r="C163" s="2" t="s">
        <v>32</v>
      </c>
      <c r="D163" s="2" t="s">
        <v>45</v>
      </c>
      <c r="E163" s="2" t="s">
        <v>422</v>
      </c>
      <c r="F163" s="2" t="s">
        <v>3426</v>
      </c>
      <c r="G163" s="2">
        <v>30706162566</v>
      </c>
      <c r="H163" s="2" t="s">
        <v>423</v>
      </c>
      <c r="I163" s="2" t="s">
        <v>424</v>
      </c>
      <c r="J163" s="3">
        <v>42583</v>
      </c>
      <c r="K163" s="2" t="s">
        <v>14</v>
      </c>
      <c r="L163" s="2" t="s">
        <v>1593</v>
      </c>
      <c r="M163" s="2" t="s">
        <v>1484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</row>
    <row r="164" spans="1:19" ht="39" x14ac:dyDescent="0.25">
      <c r="A164" s="2">
        <v>13520041</v>
      </c>
      <c r="B164" s="2" t="s">
        <v>66</v>
      </c>
      <c r="C164" s="2" t="s">
        <v>3118</v>
      </c>
      <c r="D164" s="2" t="s">
        <v>3118</v>
      </c>
      <c r="E164" s="2" t="s">
        <v>2802</v>
      </c>
      <c r="F164" s="2" t="s">
        <v>3427</v>
      </c>
      <c r="G164" s="2">
        <v>38630065922</v>
      </c>
      <c r="H164" s="2" t="s">
        <v>425</v>
      </c>
      <c r="I164" s="2" t="s">
        <v>426</v>
      </c>
      <c r="J164" s="3">
        <v>41649</v>
      </c>
      <c r="K164" s="2" t="s">
        <v>14</v>
      </c>
      <c r="L164" s="2" t="s">
        <v>1594</v>
      </c>
      <c r="M164" s="2" t="s">
        <v>1484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</v>
      </c>
    </row>
    <row r="165" spans="1:19" ht="39" x14ac:dyDescent="0.25">
      <c r="A165" s="2">
        <v>14520060</v>
      </c>
      <c r="B165" s="2" t="s">
        <v>10</v>
      </c>
      <c r="C165" s="2" t="s">
        <v>3118</v>
      </c>
      <c r="D165" s="2" t="s">
        <v>3118</v>
      </c>
      <c r="E165" s="2" t="s">
        <v>2803</v>
      </c>
      <c r="F165" s="2" t="s">
        <v>3428</v>
      </c>
      <c r="G165" s="2">
        <v>14968916532</v>
      </c>
      <c r="H165" s="2" t="s">
        <v>427</v>
      </c>
      <c r="I165" s="2" t="s">
        <v>428</v>
      </c>
      <c r="J165" s="3">
        <v>42041</v>
      </c>
      <c r="K165" s="2" t="s">
        <v>14</v>
      </c>
      <c r="L165" s="2" t="s">
        <v>1595</v>
      </c>
      <c r="M165" s="2" t="s">
        <v>1484</v>
      </c>
      <c r="N165" s="2">
        <v>0</v>
      </c>
      <c r="O165" s="2">
        <v>0</v>
      </c>
      <c r="P165" s="2">
        <v>0</v>
      </c>
      <c r="Q165" s="2">
        <v>0</v>
      </c>
      <c r="R165" s="2">
        <v>1</v>
      </c>
      <c r="S165" s="2">
        <v>0</v>
      </c>
    </row>
    <row r="166" spans="1:19" ht="26.25" x14ac:dyDescent="0.25">
      <c r="A166" s="2">
        <v>14512009</v>
      </c>
      <c r="B166" s="2" t="s">
        <v>10</v>
      </c>
      <c r="C166" s="2" t="s">
        <v>3128</v>
      </c>
      <c r="D166" s="2" t="s">
        <v>171</v>
      </c>
      <c r="E166" s="2" t="s">
        <v>2804</v>
      </c>
      <c r="F166" s="2" t="s">
        <v>3429</v>
      </c>
      <c r="G166" s="2">
        <v>19583265638</v>
      </c>
      <c r="H166" s="2" t="s">
        <v>429</v>
      </c>
      <c r="I166" s="2" t="s">
        <v>430</v>
      </c>
      <c r="J166" s="3">
        <v>42017</v>
      </c>
      <c r="K166" s="2" t="s">
        <v>110</v>
      </c>
      <c r="L166" s="2" t="s">
        <v>1596</v>
      </c>
      <c r="M166" s="2" t="s">
        <v>1484</v>
      </c>
      <c r="N166" s="2">
        <v>0</v>
      </c>
      <c r="O166" s="2">
        <v>0</v>
      </c>
      <c r="P166" s="2">
        <v>0</v>
      </c>
      <c r="Q166" s="2">
        <v>1</v>
      </c>
      <c r="R166" s="2">
        <v>0</v>
      </c>
      <c r="S166" s="2">
        <v>0</v>
      </c>
    </row>
    <row r="167" spans="1:19" ht="26.25" x14ac:dyDescent="0.25">
      <c r="A167" s="2">
        <v>16530007</v>
      </c>
      <c r="B167" s="2" t="s">
        <v>10</v>
      </c>
      <c r="C167" s="2" t="s">
        <v>32</v>
      </c>
      <c r="D167" s="2" t="s">
        <v>48</v>
      </c>
      <c r="E167" s="2" t="s">
        <v>2805</v>
      </c>
      <c r="F167" s="2" t="s">
        <v>3430</v>
      </c>
      <c r="G167" s="2">
        <v>18883263986</v>
      </c>
      <c r="H167" s="2" t="s">
        <v>431</v>
      </c>
      <c r="I167" s="2" t="s">
        <v>432</v>
      </c>
      <c r="J167" s="3">
        <v>42584</v>
      </c>
      <c r="K167" s="2" t="s">
        <v>14</v>
      </c>
      <c r="L167" s="2" t="s">
        <v>1597</v>
      </c>
      <c r="M167" s="2" t="s">
        <v>1484</v>
      </c>
      <c r="N167" s="2">
        <v>0</v>
      </c>
      <c r="O167" s="2">
        <v>0</v>
      </c>
      <c r="P167" s="2">
        <v>0</v>
      </c>
      <c r="Q167" s="2">
        <v>0</v>
      </c>
      <c r="R167" s="2">
        <v>1</v>
      </c>
      <c r="S167" s="2">
        <v>0</v>
      </c>
    </row>
    <row r="168" spans="1:19" ht="26.25" x14ac:dyDescent="0.25">
      <c r="A168" s="2">
        <v>13558003</v>
      </c>
      <c r="B168" s="2" t="s">
        <v>10</v>
      </c>
      <c r="C168" s="2" t="s">
        <v>209</v>
      </c>
      <c r="D168" s="2" t="s">
        <v>281</v>
      </c>
      <c r="E168" s="2" t="s">
        <v>433</v>
      </c>
      <c r="F168" s="2" t="s">
        <v>3431</v>
      </c>
      <c r="G168" s="2">
        <v>37882799340</v>
      </c>
      <c r="H168" s="2" t="s">
        <v>434</v>
      </c>
      <c r="I168" s="2" t="s">
        <v>435</v>
      </c>
      <c r="J168" s="3">
        <v>41464</v>
      </c>
      <c r="K168" s="2" t="s">
        <v>14</v>
      </c>
      <c r="L168" s="2" t="s">
        <v>1598</v>
      </c>
      <c r="M168" s="2" t="s">
        <v>1484</v>
      </c>
      <c r="N168" s="2">
        <v>0</v>
      </c>
      <c r="O168" s="2">
        <v>0</v>
      </c>
      <c r="P168" s="2">
        <v>1</v>
      </c>
      <c r="Q168" s="2">
        <v>0</v>
      </c>
      <c r="R168" s="2">
        <v>0</v>
      </c>
      <c r="S168" s="2">
        <v>0</v>
      </c>
    </row>
    <row r="169" spans="1:19" ht="26.25" x14ac:dyDescent="0.25">
      <c r="A169" s="2">
        <v>10543103</v>
      </c>
      <c r="B169" s="2" t="s">
        <v>10</v>
      </c>
      <c r="C169" s="2" t="s">
        <v>126</v>
      </c>
      <c r="D169" s="2" t="s">
        <v>126</v>
      </c>
      <c r="E169" s="2" t="s">
        <v>2806</v>
      </c>
      <c r="F169" s="2" t="s">
        <v>3432</v>
      </c>
      <c r="G169" s="2">
        <v>29671356414</v>
      </c>
      <c r="H169" s="2" t="s">
        <v>436</v>
      </c>
      <c r="I169" s="2" t="s">
        <v>437</v>
      </c>
      <c r="J169" s="3">
        <v>40584</v>
      </c>
      <c r="K169" s="2" t="s">
        <v>14</v>
      </c>
      <c r="L169" s="2" t="s">
        <v>1599</v>
      </c>
      <c r="M169" s="2" t="s">
        <v>1486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ht="26.25" x14ac:dyDescent="0.25">
      <c r="A170" s="2">
        <v>16552008</v>
      </c>
      <c r="B170" s="2" t="s">
        <v>10</v>
      </c>
      <c r="C170" s="2" t="s">
        <v>3119</v>
      </c>
      <c r="D170" s="2" t="s">
        <v>19</v>
      </c>
      <c r="E170" s="2" t="s">
        <v>2807</v>
      </c>
      <c r="F170" s="2" t="s">
        <v>3433</v>
      </c>
      <c r="G170" s="2">
        <v>62005124808</v>
      </c>
      <c r="H170" s="2" t="s">
        <v>438</v>
      </c>
      <c r="I170" s="2" t="s">
        <v>439</v>
      </c>
      <c r="J170" s="3">
        <v>42585</v>
      </c>
      <c r="K170" s="2" t="s">
        <v>14</v>
      </c>
      <c r="L170" s="2" t="s">
        <v>1600</v>
      </c>
      <c r="M170" s="2" t="s">
        <v>1484</v>
      </c>
      <c r="N170" s="2">
        <v>0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</row>
    <row r="171" spans="1:19" ht="26.25" x14ac:dyDescent="0.25">
      <c r="A171" s="2">
        <v>16525023</v>
      </c>
      <c r="B171" s="2" t="s">
        <v>10</v>
      </c>
      <c r="C171" s="2" t="s">
        <v>105</v>
      </c>
      <c r="D171" s="2" t="s">
        <v>105</v>
      </c>
      <c r="E171" s="2" t="s">
        <v>2808</v>
      </c>
      <c r="F171" s="2" t="s">
        <v>3434</v>
      </c>
      <c r="G171" s="2">
        <v>24475283454</v>
      </c>
      <c r="H171" s="2" t="s">
        <v>440</v>
      </c>
      <c r="I171" s="2" t="s">
        <v>441</v>
      </c>
      <c r="J171" s="3">
        <v>42758</v>
      </c>
      <c r="K171" s="2" t="s">
        <v>14</v>
      </c>
      <c r="L171" s="2" t="s">
        <v>1601</v>
      </c>
      <c r="M171" s="2" t="s">
        <v>1484</v>
      </c>
      <c r="N171" s="2">
        <v>0</v>
      </c>
      <c r="O171" s="2">
        <v>0</v>
      </c>
      <c r="P171" s="2">
        <v>0</v>
      </c>
      <c r="Q171" s="2">
        <v>0</v>
      </c>
      <c r="R171" s="2">
        <v>1</v>
      </c>
      <c r="S171" s="2">
        <v>0</v>
      </c>
    </row>
    <row r="172" spans="1:19" ht="26.25" x14ac:dyDescent="0.25">
      <c r="A172" s="2">
        <v>16521003</v>
      </c>
      <c r="B172" s="2" t="s">
        <v>10</v>
      </c>
      <c r="C172" s="2" t="s">
        <v>3119</v>
      </c>
      <c r="D172" s="2" t="s">
        <v>229</v>
      </c>
      <c r="E172" s="2" t="s">
        <v>2809</v>
      </c>
      <c r="F172" s="2" t="s">
        <v>3435</v>
      </c>
      <c r="G172" s="2">
        <v>25780923332</v>
      </c>
      <c r="H172" s="2" t="s">
        <v>442</v>
      </c>
      <c r="I172" s="2" t="s">
        <v>443</v>
      </c>
      <c r="J172" s="3">
        <v>42583</v>
      </c>
      <c r="K172" s="2" t="s">
        <v>14</v>
      </c>
      <c r="L172" s="2" t="s">
        <v>3193</v>
      </c>
      <c r="M172" s="2" t="s">
        <v>1484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1</v>
      </c>
    </row>
    <row r="173" spans="1:19" ht="39" x14ac:dyDescent="0.25">
      <c r="A173" s="2">
        <v>15532003</v>
      </c>
      <c r="B173" s="2" t="s">
        <v>10</v>
      </c>
      <c r="C173" s="2" t="s">
        <v>32</v>
      </c>
      <c r="D173" s="2" t="s">
        <v>33</v>
      </c>
      <c r="E173" s="2" t="s">
        <v>2810</v>
      </c>
      <c r="F173" s="2" t="s">
        <v>3436</v>
      </c>
      <c r="G173" s="2">
        <v>53878207392</v>
      </c>
      <c r="H173" s="2" t="s">
        <v>444</v>
      </c>
      <c r="I173" s="2" t="s">
        <v>445</v>
      </c>
      <c r="J173" s="3">
        <v>42184</v>
      </c>
      <c r="K173" s="2" t="s">
        <v>14</v>
      </c>
      <c r="L173" s="2" t="s">
        <v>1602</v>
      </c>
      <c r="M173" s="2" t="s">
        <v>1484</v>
      </c>
      <c r="N173" s="2">
        <v>0</v>
      </c>
      <c r="O173" s="2">
        <v>0</v>
      </c>
      <c r="P173" s="2">
        <v>1</v>
      </c>
      <c r="Q173" s="2">
        <v>0</v>
      </c>
      <c r="R173" s="2">
        <v>0</v>
      </c>
      <c r="S173" s="2">
        <v>0</v>
      </c>
    </row>
    <row r="174" spans="1:19" ht="26.25" x14ac:dyDescent="0.25">
      <c r="A174" s="2">
        <v>14530014</v>
      </c>
      <c r="B174" s="2" t="s">
        <v>10</v>
      </c>
      <c r="C174" s="2" t="s">
        <v>32</v>
      </c>
      <c r="D174" s="2" t="s">
        <v>48</v>
      </c>
      <c r="E174" s="2" t="s">
        <v>446</v>
      </c>
      <c r="F174" s="2" t="s">
        <v>3437</v>
      </c>
      <c r="G174" s="2">
        <v>14314564424</v>
      </c>
      <c r="H174" s="2" t="s">
        <v>447</v>
      </c>
      <c r="I174" s="2" t="s">
        <v>448</v>
      </c>
      <c r="J174" s="3">
        <v>41828</v>
      </c>
      <c r="K174" s="2" t="s">
        <v>14</v>
      </c>
      <c r="L174" s="2" t="s">
        <v>1495</v>
      </c>
      <c r="M174" s="2" t="s">
        <v>1484</v>
      </c>
      <c r="N174" s="2">
        <v>0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</row>
    <row r="175" spans="1:19" ht="39" x14ac:dyDescent="0.25">
      <c r="A175" s="2">
        <v>11522001</v>
      </c>
      <c r="B175" s="2" t="s">
        <v>10</v>
      </c>
      <c r="C175" s="2" t="s">
        <v>3119</v>
      </c>
      <c r="D175" s="2" t="s">
        <v>449</v>
      </c>
      <c r="E175" s="2" t="s">
        <v>450</v>
      </c>
      <c r="F175" s="2" t="s">
        <v>3438</v>
      </c>
      <c r="G175" s="2">
        <v>19168973194</v>
      </c>
      <c r="H175" s="2" t="s">
        <v>451</v>
      </c>
      <c r="I175" s="2" t="s">
        <v>452</v>
      </c>
      <c r="J175" s="3">
        <v>40806</v>
      </c>
      <c r="K175" s="2" t="s">
        <v>14</v>
      </c>
      <c r="L175" s="2" t="s">
        <v>1603</v>
      </c>
      <c r="M175" s="2" t="s">
        <v>1486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ht="26.25" x14ac:dyDescent="0.25">
      <c r="A176" s="2">
        <v>13557004</v>
      </c>
      <c r="B176" s="2" t="s">
        <v>10</v>
      </c>
      <c r="C176" s="2" t="s">
        <v>209</v>
      </c>
      <c r="D176" s="2" t="s">
        <v>325</v>
      </c>
      <c r="E176" s="2" t="s">
        <v>2811</v>
      </c>
      <c r="F176" s="2" t="s">
        <v>3439</v>
      </c>
      <c r="G176" s="2">
        <v>13481469556</v>
      </c>
      <c r="H176" s="2" t="s">
        <v>453</v>
      </c>
      <c r="I176" s="2" t="s">
        <v>454</v>
      </c>
      <c r="J176" s="3">
        <v>41464</v>
      </c>
      <c r="K176" s="2" t="s">
        <v>14</v>
      </c>
      <c r="L176" s="2" t="s">
        <v>3190</v>
      </c>
      <c r="M176" s="2" t="s">
        <v>1484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</row>
    <row r="177" spans="1:19" ht="26.25" x14ac:dyDescent="0.25">
      <c r="A177" s="2">
        <v>13502011</v>
      </c>
      <c r="B177" s="2" t="s">
        <v>10</v>
      </c>
      <c r="C177" s="2" t="s">
        <v>3132</v>
      </c>
      <c r="D177" s="2" t="s">
        <v>3132</v>
      </c>
      <c r="E177" s="2" t="s">
        <v>2812</v>
      </c>
      <c r="F177" s="2" t="s">
        <v>3440</v>
      </c>
      <c r="G177" s="2">
        <v>20971805596</v>
      </c>
      <c r="H177" s="2" t="s">
        <v>455</v>
      </c>
      <c r="I177" s="2"/>
      <c r="J177" s="3">
        <v>41464</v>
      </c>
      <c r="K177" s="2" t="s">
        <v>14</v>
      </c>
      <c r="L177" s="2" t="s">
        <v>1604</v>
      </c>
      <c r="M177" s="2" t="s">
        <v>1484</v>
      </c>
      <c r="N177" s="2">
        <v>0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</row>
    <row r="178" spans="1:19" ht="39" x14ac:dyDescent="0.25">
      <c r="A178" s="2">
        <v>13507019</v>
      </c>
      <c r="B178" s="2" t="s">
        <v>66</v>
      </c>
      <c r="C178" s="2" t="s">
        <v>67</v>
      </c>
      <c r="D178" s="2" t="s">
        <v>67</v>
      </c>
      <c r="E178" s="2" t="s">
        <v>2813</v>
      </c>
      <c r="F178" s="2" t="s">
        <v>3441</v>
      </c>
      <c r="G178" s="2">
        <v>26990471750</v>
      </c>
      <c r="H178" s="2" t="s">
        <v>456</v>
      </c>
      <c r="I178" s="2" t="s">
        <v>457</v>
      </c>
      <c r="J178" s="3">
        <v>41464</v>
      </c>
      <c r="K178" s="2" t="s">
        <v>14</v>
      </c>
      <c r="L178" s="2" t="s">
        <v>1605</v>
      </c>
      <c r="M178" s="2" t="s">
        <v>1484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</row>
    <row r="179" spans="1:19" ht="26.25" x14ac:dyDescent="0.25">
      <c r="A179" s="2">
        <v>16530016</v>
      </c>
      <c r="B179" s="2" t="s">
        <v>10</v>
      </c>
      <c r="C179" s="2" t="s">
        <v>32</v>
      </c>
      <c r="D179" s="2" t="s">
        <v>48</v>
      </c>
      <c r="E179" s="2" t="s">
        <v>458</v>
      </c>
      <c r="F179" s="2" t="s">
        <v>3442</v>
      </c>
      <c r="G179" s="2">
        <v>63577098634</v>
      </c>
      <c r="H179" s="2" t="s">
        <v>459</v>
      </c>
      <c r="I179" s="2" t="s">
        <v>460</v>
      </c>
      <c r="J179" s="3">
        <v>42614</v>
      </c>
      <c r="K179" s="2" t="s">
        <v>14</v>
      </c>
      <c r="L179" s="2" t="s">
        <v>1606</v>
      </c>
      <c r="M179" s="2" t="s">
        <v>1484</v>
      </c>
      <c r="N179" s="2">
        <v>0</v>
      </c>
      <c r="O179" s="2">
        <v>0</v>
      </c>
      <c r="P179" s="2">
        <v>0</v>
      </c>
      <c r="Q179" s="2">
        <v>0</v>
      </c>
      <c r="R179" s="2">
        <v>1</v>
      </c>
      <c r="S179" s="2">
        <v>0</v>
      </c>
    </row>
    <row r="180" spans="1:19" ht="26.25" x14ac:dyDescent="0.25">
      <c r="A180" s="2">
        <v>16536014</v>
      </c>
      <c r="B180" s="2" t="s">
        <v>10</v>
      </c>
      <c r="C180" s="2" t="s">
        <v>32</v>
      </c>
      <c r="D180" s="2" t="s">
        <v>299</v>
      </c>
      <c r="E180" s="2" t="s">
        <v>461</v>
      </c>
      <c r="F180" s="2" t="s">
        <v>3443</v>
      </c>
      <c r="G180" s="2">
        <v>23126643210</v>
      </c>
      <c r="H180" s="2" t="s">
        <v>462</v>
      </c>
      <c r="I180" s="2" t="s">
        <v>463</v>
      </c>
      <c r="J180" s="3">
        <v>42586</v>
      </c>
      <c r="K180" s="2" t="s">
        <v>14</v>
      </c>
      <c r="L180" s="2" t="s">
        <v>1607</v>
      </c>
      <c r="M180" s="2" t="s">
        <v>1484</v>
      </c>
      <c r="N180" s="2">
        <v>0</v>
      </c>
      <c r="O180" s="2">
        <v>0</v>
      </c>
      <c r="P180" s="2">
        <v>1</v>
      </c>
      <c r="Q180" s="2">
        <v>0</v>
      </c>
      <c r="R180" s="2">
        <v>0</v>
      </c>
      <c r="S180" s="2">
        <v>0</v>
      </c>
    </row>
    <row r="181" spans="1:19" ht="39" x14ac:dyDescent="0.25">
      <c r="A181" s="2">
        <v>16554050</v>
      </c>
      <c r="B181" s="2" t="s">
        <v>10</v>
      </c>
      <c r="C181" s="2" t="s">
        <v>25</v>
      </c>
      <c r="D181" s="2" t="s">
        <v>25</v>
      </c>
      <c r="E181" s="2" t="s">
        <v>2814</v>
      </c>
      <c r="F181" s="2" t="s">
        <v>3444</v>
      </c>
      <c r="G181" s="2">
        <v>33547766450</v>
      </c>
      <c r="H181" s="2" t="s">
        <v>464</v>
      </c>
      <c r="I181" s="2" t="s">
        <v>465</v>
      </c>
      <c r="J181" s="3">
        <v>42779</v>
      </c>
      <c r="K181" s="2" t="s">
        <v>14</v>
      </c>
      <c r="L181" s="2" t="s">
        <v>3194</v>
      </c>
      <c r="M181" s="2" t="s">
        <v>1484</v>
      </c>
      <c r="N181" s="2">
        <v>0</v>
      </c>
      <c r="O181" s="2">
        <v>0</v>
      </c>
      <c r="P181" s="2">
        <v>1</v>
      </c>
      <c r="Q181" s="2">
        <v>0</v>
      </c>
      <c r="R181" s="2">
        <v>0</v>
      </c>
      <c r="S181" s="2">
        <v>0</v>
      </c>
    </row>
    <row r="182" spans="1:19" ht="39" x14ac:dyDescent="0.25">
      <c r="A182" s="2">
        <v>13533003</v>
      </c>
      <c r="B182" s="2" t="s">
        <v>10</v>
      </c>
      <c r="C182" s="2" t="s">
        <v>32</v>
      </c>
      <c r="D182" s="2" t="s">
        <v>132</v>
      </c>
      <c r="E182" s="2" t="s">
        <v>2815</v>
      </c>
      <c r="F182" s="2" t="s">
        <v>3445</v>
      </c>
      <c r="G182" s="2">
        <v>35206424084</v>
      </c>
      <c r="H182" s="2" t="s">
        <v>466</v>
      </c>
      <c r="I182" s="2" t="s">
        <v>467</v>
      </c>
      <c r="J182" s="3">
        <v>41505</v>
      </c>
      <c r="K182" s="2" t="s">
        <v>14</v>
      </c>
      <c r="L182" s="2" t="s">
        <v>1571</v>
      </c>
      <c r="M182" s="2" t="s">
        <v>1484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s="2">
        <v>0</v>
      </c>
    </row>
    <row r="183" spans="1:19" ht="39" x14ac:dyDescent="0.25">
      <c r="A183" s="2">
        <v>14509010</v>
      </c>
      <c r="B183" s="2" t="s">
        <v>10</v>
      </c>
      <c r="C183" s="2" t="s">
        <v>3128</v>
      </c>
      <c r="D183" s="2" t="s">
        <v>468</v>
      </c>
      <c r="E183" s="2" t="s">
        <v>2816</v>
      </c>
      <c r="F183" s="2" t="s">
        <v>3446</v>
      </c>
      <c r="G183" s="2">
        <v>25106016472</v>
      </c>
      <c r="H183" s="2" t="s">
        <v>469</v>
      </c>
      <c r="I183" s="2" t="s">
        <v>470</v>
      </c>
      <c r="J183" s="3">
        <v>41879</v>
      </c>
      <c r="K183" s="2" t="s">
        <v>14</v>
      </c>
      <c r="L183" s="2" t="s">
        <v>1608</v>
      </c>
      <c r="M183" s="2" t="s">
        <v>1484</v>
      </c>
      <c r="N183" s="2">
        <v>0</v>
      </c>
      <c r="O183" s="2">
        <v>0</v>
      </c>
      <c r="P183" s="2">
        <v>0</v>
      </c>
      <c r="Q183" s="2">
        <v>0</v>
      </c>
      <c r="R183" s="2">
        <v>1</v>
      </c>
      <c r="S183" s="2">
        <v>0</v>
      </c>
    </row>
    <row r="184" spans="1:19" ht="26.25" x14ac:dyDescent="0.25">
      <c r="A184" s="2">
        <v>10525104</v>
      </c>
      <c r="B184" s="2" t="s">
        <v>10</v>
      </c>
      <c r="C184" s="2" t="s">
        <v>105</v>
      </c>
      <c r="D184" s="2" t="s">
        <v>105</v>
      </c>
      <c r="E184" s="2" t="s">
        <v>2817</v>
      </c>
      <c r="F184" s="2" t="s">
        <v>3447</v>
      </c>
      <c r="G184" s="2">
        <v>28429960088</v>
      </c>
      <c r="H184" s="2" t="s">
        <v>471</v>
      </c>
      <c r="I184" s="2" t="s">
        <v>472</v>
      </c>
      <c r="J184" s="3">
        <v>40584</v>
      </c>
      <c r="K184" s="2" t="s">
        <v>14</v>
      </c>
      <c r="L184" s="2" t="s">
        <v>1609</v>
      </c>
      <c r="M184" s="2" t="s">
        <v>1486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ht="39" x14ac:dyDescent="0.25">
      <c r="A185" s="2">
        <v>16512009</v>
      </c>
      <c r="B185" s="2" t="s">
        <v>10</v>
      </c>
      <c r="C185" s="2" t="s">
        <v>3128</v>
      </c>
      <c r="D185" s="2" t="s">
        <v>171</v>
      </c>
      <c r="E185" s="2" t="s">
        <v>2818</v>
      </c>
      <c r="F185" s="2" t="s">
        <v>3448</v>
      </c>
      <c r="G185" s="2">
        <v>29924299512</v>
      </c>
      <c r="H185" s="2" t="s">
        <v>473</v>
      </c>
      <c r="I185" s="2" t="s">
        <v>474</v>
      </c>
      <c r="J185" s="3">
        <v>42586</v>
      </c>
      <c r="K185" s="2" t="s">
        <v>14</v>
      </c>
      <c r="L185" s="2" t="s">
        <v>1610</v>
      </c>
      <c r="M185" s="2" t="s">
        <v>1484</v>
      </c>
      <c r="N185" s="2">
        <v>0</v>
      </c>
      <c r="O185" s="2">
        <v>0</v>
      </c>
      <c r="P185" s="2">
        <v>1</v>
      </c>
      <c r="Q185" s="2">
        <v>0</v>
      </c>
      <c r="R185" s="2">
        <v>0</v>
      </c>
      <c r="S185" s="2">
        <v>0</v>
      </c>
    </row>
    <row r="186" spans="1:19" ht="51.75" x14ac:dyDescent="0.25">
      <c r="A186" s="2">
        <v>16536001</v>
      </c>
      <c r="B186" s="2" t="s">
        <v>10</v>
      </c>
      <c r="C186" s="2" t="s">
        <v>32</v>
      </c>
      <c r="D186" s="2" t="s">
        <v>299</v>
      </c>
      <c r="E186" s="2" t="s">
        <v>2819</v>
      </c>
      <c r="F186" s="2" t="s">
        <v>3449</v>
      </c>
      <c r="G186" s="2">
        <v>10012425128</v>
      </c>
      <c r="H186" s="2" t="s">
        <v>475</v>
      </c>
      <c r="I186" s="2" t="s">
        <v>476</v>
      </c>
      <c r="J186" s="3">
        <v>42583</v>
      </c>
      <c r="K186" s="2" t="s">
        <v>14</v>
      </c>
      <c r="L186" s="2" t="s">
        <v>1534</v>
      </c>
      <c r="M186" s="2" t="s">
        <v>1484</v>
      </c>
      <c r="N186" s="2">
        <v>0</v>
      </c>
      <c r="O186" s="2">
        <v>0</v>
      </c>
      <c r="P186" s="2">
        <v>1</v>
      </c>
      <c r="Q186" s="2">
        <v>0</v>
      </c>
      <c r="R186" s="2">
        <v>0</v>
      </c>
      <c r="S186" s="2">
        <v>0</v>
      </c>
    </row>
    <row r="187" spans="1:19" ht="39" x14ac:dyDescent="0.25">
      <c r="A187" s="2">
        <v>11556102</v>
      </c>
      <c r="B187" s="2" t="s">
        <v>10</v>
      </c>
      <c r="C187" s="2" t="s">
        <v>209</v>
      </c>
      <c r="D187" s="2" t="s">
        <v>477</v>
      </c>
      <c r="E187" s="2" t="s">
        <v>478</v>
      </c>
      <c r="F187" s="2" t="s">
        <v>3450</v>
      </c>
      <c r="G187" s="2">
        <v>47479651104</v>
      </c>
      <c r="H187" s="2" t="s">
        <v>479</v>
      </c>
      <c r="I187" s="2" t="s">
        <v>480</v>
      </c>
      <c r="J187" s="3">
        <v>40953</v>
      </c>
      <c r="K187" s="2" t="s">
        <v>14</v>
      </c>
      <c r="L187" s="2" t="s">
        <v>1611</v>
      </c>
      <c r="M187" s="2" t="s">
        <v>1486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</row>
    <row r="188" spans="1:19" ht="26.25" x14ac:dyDescent="0.25">
      <c r="A188" s="2">
        <v>9523008</v>
      </c>
      <c r="B188" s="2" t="s">
        <v>10</v>
      </c>
      <c r="C188" s="2" t="s">
        <v>3119</v>
      </c>
      <c r="D188" s="2" t="s">
        <v>129</v>
      </c>
      <c r="E188" s="2" t="s">
        <v>2820</v>
      </c>
      <c r="F188" s="2" t="s">
        <v>3451</v>
      </c>
      <c r="G188" s="2">
        <v>63280182088</v>
      </c>
      <c r="H188" s="2" t="s">
        <v>481</v>
      </c>
      <c r="I188" s="2" t="s">
        <v>482</v>
      </c>
      <c r="J188" s="3">
        <v>40071</v>
      </c>
      <c r="K188" s="2" t="s">
        <v>14</v>
      </c>
      <c r="L188" s="2" t="s">
        <v>1612</v>
      </c>
      <c r="M188" s="2" t="s">
        <v>1486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ht="26.25" x14ac:dyDescent="0.25">
      <c r="A189" s="2">
        <v>13549040</v>
      </c>
      <c r="B189" s="2" t="s">
        <v>10</v>
      </c>
      <c r="C189" s="2" t="s">
        <v>3117</v>
      </c>
      <c r="D189" s="2" t="s">
        <v>11</v>
      </c>
      <c r="E189" s="2" t="s">
        <v>483</v>
      </c>
      <c r="F189" s="2" t="s">
        <v>3452</v>
      </c>
      <c r="G189" s="2">
        <v>30368027166</v>
      </c>
      <c r="H189" s="2" t="s">
        <v>484</v>
      </c>
      <c r="I189" s="2" t="s">
        <v>485</v>
      </c>
      <c r="J189" s="3">
        <v>41680</v>
      </c>
      <c r="K189" s="2" t="s">
        <v>14</v>
      </c>
      <c r="L189" s="2" t="s">
        <v>3195</v>
      </c>
      <c r="M189" s="2" t="s">
        <v>1484</v>
      </c>
      <c r="N189" s="2">
        <v>0</v>
      </c>
      <c r="O189" s="2">
        <v>0</v>
      </c>
      <c r="P189" s="2">
        <v>0</v>
      </c>
      <c r="Q189" s="2">
        <v>0</v>
      </c>
      <c r="R189" s="2">
        <v>1</v>
      </c>
      <c r="S189" s="2">
        <v>0</v>
      </c>
    </row>
    <row r="190" spans="1:19" ht="26.25" x14ac:dyDescent="0.25">
      <c r="A190" s="2">
        <v>16533007</v>
      </c>
      <c r="B190" s="2" t="s">
        <v>10</v>
      </c>
      <c r="C190" s="2" t="s">
        <v>32</v>
      </c>
      <c r="D190" s="2" t="s">
        <v>132</v>
      </c>
      <c r="E190" s="2" t="s">
        <v>2821</v>
      </c>
      <c r="F190" s="2" t="s">
        <v>3453</v>
      </c>
      <c r="G190" s="2">
        <v>46093174228</v>
      </c>
      <c r="H190" s="2" t="s">
        <v>486</v>
      </c>
      <c r="I190" s="2" t="s">
        <v>487</v>
      </c>
      <c r="J190" s="3">
        <v>42586</v>
      </c>
      <c r="K190" s="2" t="s">
        <v>14</v>
      </c>
      <c r="L190" s="2" t="s">
        <v>1613</v>
      </c>
      <c r="M190" s="2" t="s">
        <v>1484</v>
      </c>
      <c r="N190" s="2">
        <v>0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</row>
    <row r="191" spans="1:19" ht="26.25" x14ac:dyDescent="0.25">
      <c r="A191" s="2">
        <v>14569010</v>
      </c>
      <c r="B191" s="2" t="s">
        <v>10</v>
      </c>
      <c r="C191" s="2" t="s">
        <v>488</v>
      </c>
      <c r="D191" s="2" t="s">
        <v>488</v>
      </c>
      <c r="E191" s="2" t="s">
        <v>2822</v>
      </c>
      <c r="F191" s="2" t="s">
        <v>3454</v>
      </c>
      <c r="G191" s="2">
        <v>26972578118</v>
      </c>
      <c r="H191" s="2" t="s">
        <v>489</v>
      </c>
      <c r="I191" s="2" t="s">
        <v>490</v>
      </c>
      <c r="J191" s="3">
        <v>41829</v>
      </c>
      <c r="K191" s="2" t="s">
        <v>14</v>
      </c>
      <c r="L191" s="2" t="s">
        <v>1614</v>
      </c>
      <c r="M191" s="2" t="s">
        <v>1484</v>
      </c>
      <c r="N191" s="2">
        <v>0</v>
      </c>
      <c r="O191" s="2">
        <v>0</v>
      </c>
      <c r="P191" s="2">
        <v>0</v>
      </c>
      <c r="Q191" s="2">
        <v>0</v>
      </c>
      <c r="R191" s="2">
        <v>1</v>
      </c>
      <c r="S191" s="2">
        <v>0</v>
      </c>
    </row>
    <row r="192" spans="1:19" ht="39" x14ac:dyDescent="0.25">
      <c r="A192" s="2">
        <v>10507205</v>
      </c>
      <c r="B192" s="2" t="s">
        <v>66</v>
      </c>
      <c r="C192" s="2" t="s">
        <v>67</v>
      </c>
      <c r="D192" s="2" t="s">
        <v>67</v>
      </c>
      <c r="E192" s="2" t="s">
        <v>2823</v>
      </c>
      <c r="F192" s="2" t="s">
        <v>3455</v>
      </c>
      <c r="G192" s="2">
        <v>33706635092</v>
      </c>
      <c r="H192" s="2" t="s">
        <v>491</v>
      </c>
      <c r="I192" s="2" t="s">
        <v>492</v>
      </c>
      <c r="J192" s="3">
        <v>40438</v>
      </c>
      <c r="K192" s="2" t="s">
        <v>14</v>
      </c>
      <c r="L192" s="2" t="s">
        <v>1615</v>
      </c>
      <c r="M192" s="2" t="s">
        <v>1484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</row>
    <row r="193" spans="1:19" ht="39" x14ac:dyDescent="0.25">
      <c r="A193" s="2">
        <v>14554005</v>
      </c>
      <c r="B193" s="2" t="s">
        <v>66</v>
      </c>
      <c r="C193" s="2" t="s">
        <v>25</v>
      </c>
      <c r="D193" s="2" t="s">
        <v>25</v>
      </c>
      <c r="E193" s="2" t="s">
        <v>2824</v>
      </c>
      <c r="F193" s="2" t="s">
        <v>3456</v>
      </c>
      <c r="G193" s="2">
        <v>19547230214</v>
      </c>
      <c r="H193" s="2" t="s">
        <v>493</v>
      </c>
      <c r="I193" s="2" t="s">
        <v>494</v>
      </c>
      <c r="J193" s="3">
        <v>41879</v>
      </c>
      <c r="K193" s="2" t="s">
        <v>14</v>
      </c>
      <c r="L193" s="2" t="s">
        <v>1616</v>
      </c>
      <c r="M193" s="2" t="s">
        <v>1484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</v>
      </c>
    </row>
    <row r="194" spans="1:19" ht="26.25" x14ac:dyDescent="0.25">
      <c r="A194" s="2">
        <v>14520005</v>
      </c>
      <c r="B194" s="2" t="s">
        <v>10</v>
      </c>
      <c r="C194" s="2" t="s">
        <v>3118</v>
      </c>
      <c r="D194" s="2" t="s">
        <v>3118</v>
      </c>
      <c r="E194" s="2" t="s">
        <v>495</v>
      </c>
      <c r="F194" s="2" t="s">
        <v>3457</v>
      </c>
      <c r="G194" s="2">
        <v>34114184714</v>
      </c>
      <c r="H194" s="2" t="s">
        <v>496</v>
      </c>
      <c r="I194" s="2" t="s">
        <v>497</v>
      </c>
      <c r="J194" s="3">
        <v>41827</v>
      </c>
      <c r="K194" s="2" t="s">
        <v>14</v>
      </c>
      <c r="L194" s="2" t="s">
        <v>1595</v>
      </c>
      <c r="M194" s="2" t="s">
        <v>1484</v>
      </c>
      <c r="N194" s="2">
        <v>0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</row>
    <row r="195" spans="1:19" ht="39" x14ac:dyDescent="0.25">
      <c r="A195" s="2">
        <v>12557001</v>
      </c>
      <c r="B195" s="2" t="s">
        <v>10</v>
      </c>
      <c r="C195" s="2" t="s">
        <v>209</v>
      </c>
      <c r="D195" s="2" t="s">
        <v>325</v>
      </c>
      <c r="E195" s="2" t="s">
        <v>2825</v>
      </c>
      <c r="F195" s="2" t="s">
        <v>3458</v>
      </c>
      <c r="G195" s="2">
        <v>43984369770</v>
      </c>
      <c r="H195" s="2" t="s">
        <v>498</v>
      </c>
      <c r="I195" s="2" t="s">
        <v>499</v>
      </c>
      <c r="J195" s="3">
        <v>41162</v>
      </c>
      <c r="K195" s="2" t="s">
        <v>14</v>
      </c>
      <c r="L195" s="2" t="s">
        <v>1592</v>
      </c>
      <c r="M195" s="2" t="s">
        <v>1486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ht="39" x14ac:dyDescent="0.25">
      <c r="A196" s="2">
        <v>9535103</v>
      </c>
      <c r="B196" s="2" t="s">
        <v>10</v>
      </c>
      <c r="C196" s="2" t="s">
        <v>32</v>
      </c>
      <c r="D196" s="2" t="s">
        <v>45</v>
      </c>
      <c r="E196" s="2" t="s">
        <v>2826</v>
      </c>
      <c r="F196" s="2" t="s">
        <v>3459</v>
      </c>
      <c r="G196" s="2">
        <v>62800384810</v>
      </c>
      <c r="H196" s="2" t="s">
        <v>500</v>
      </c>
      <c r="I196" s="2" t="s">
        <v>501</v>
      </c>
      <c r="J196" s="3">
        <v>40227</v>
      </c>
      <c r="K196" s="2" t="s">
        <v>14</v>
      </c>
      <c r="L196" s="2" t="s">
        <v>1617</v>
      </c>
      <c r="M196" s="2" t="s">
        <v>1486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ht="39" x14ac:dyDescent="0.25">
      <c r="A197" s="2">
        <v>16506012</v>
      </c>
      <c r="B197" s="2" t="s">
        <v>10</v>
      </c>
      <c r="C197" s="2" t="s">
        <v>3122</v>
      </c>
      <c r="D197" s="2" t="s">
        <v>3122</v>
      </c>
      <c r="E197" s="2" t="s">
        <v>2827</v>
      </c>
      <c r="F197" s="2" t="s">
        <v>3460</v>
      </c>
      <c r="G197" s="2">
        <v>20428125734</v>
      </c>
      <c r="H197" s="2" t="s">
        <v>502</v>
      </c>
      <c r="I197" s="2" t="s">
        <v>503</v>
      </c>
      <c r="J197" s="3">
        <v>42585</v>
      </c>
      <c r="K197" s="2" t="s">
        <v>158</v>
      </c>
      <c r="L197" s="2" t="s">
        <v>1618</v>
      </c>
      <c r="M197" s="2" t="s">
        <v>1484</v>
      </c>
      <c r="N197" s="2">
        <v>0</v>
      </c>
      <c r="O197" s="2">
        <v>0</v>
      </c>
      <c r="P197" s="2">
        <v>0</v>
      </c>
      <c r="Q197" s="2">
        <v>0</v>
      </c>
      <c r="R197" s="2">
        <v>1</v>
      </c>
      <c r="S197" s="2">
        <v>0</v>
      </c>
    </row>
    <row r="198" spans="1:19" ht="26.25" x14ac:dyDescent="0.25">
      <c r="A198" s="2">
        <v>13537004</v>
      </c>
      <c r="B198" s="2" t="s">
        <v>66</v>
      </c>
      <c r="C198" s="2" t="s">
        <v>209</v>
      </c>
      <c r="D198" s="2" t="s">
        <v>210</v>
      </c>
      <c r="E198" s="2" t="s">
        <v>504</v>
      </c>
      <c r="F198" s="2" t="s">
        <v>3461</v>
      </c>
      <c r="G198" s="2">
        <v>36955299176</v>
      </c>
      <c r="H198" s="2" t="s">
        <v>505</v>
      </c>
      <c r="I198" s="2" t="s">
        <v>506</v>
      </c>
      <c r="J198" s="3">
        <v>41514</v>
      </c>
      <c r="K198" s="2" t="s">
        <v>14</v>
      </c>
      <c r="L198" s="2" t="s">
        <v>1619</v>
      </c>
      <c r="M198" s="2" t="s">
        <v>1484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</v>
      </c>
    </row>
    <row r="199" spans="1:19" ht="51.75" x14ac:dyDescent="0.25">
      <c r="A199" s="2">
        <v>14513024</v>
      </c>
      <c r="B199" s="2" t="s">
        <v>10</v>
      </c>
      <c r="C199" s="2" t="s">
        <v>3128</v>
      </c>
      <c r="D199" s="2" t="s">
        <v>45</v>
      </c>
      <c r="E199" s="2" t="s">
        <v>2828</v>
      </c>
      <c r="F199" s="2" t="s">
        <v>3462</v>
      </c>
      <c r="G199" s="2">
        <v>35932462756</v>
      </c>
      <c r="H199" s="2" t="s">
        <v>507</v>
      </c>
      <c r="I199" s="2" t="s">
        <v>508</v>
      </c>
      <c r="J199" s="3">
        <v>41890</v>
      </c>
      <c r="K199" s="2" t="s">
        <v>14</v>
      </c>
      <c r="L199" s="2" t="s">
        <v>1620</v>
      </c>
      <c r="M199" s="2" t="s">
        <v>1484</v>
      </c>
      <c r="N199" s="2">
        <v>0</v>
      </c>
      <c r="O199" s="2">
        <v>0</v>
      </c>
      <c r="P199" s="2">
        <v>0</v>
      </c>
      <c r="Q199" s="2">
        <v>0</v>
      </c>
      <c r="R199" s="2">
        <v>1</v>
      </c>
      <c r="S199" s="2">
        <v>0</v>
      </c>
    </row>
    <row r="200" spans="1:19" ht="39" x14ac:dyDescent="0.25">
      <c r="A200" s="2">
        <v>14526009</v>
      </c>
      <c r="B200" s="2" t="s">
        <v>10</v>
      </c>
      <c r="C200" s="2" t="s">
        <v>3134</v>
      </c>
      <c r="D200" s="2" t="s">
        <v>3134</v>
      </c>
      <c r="E200" s="2" t="s">
        <v>509</v>
      </c>
      <c r="F200" s="2" t="s">
        <v>3463</v>
      </c>
      <c r="G200" s="2">
        <v>18989155208</v>
      </c>
      <c r="H200" s="2" t="s">
        <v>510</v>
      </c>
      <c r="I200" s="2" t="s">
        <v>511</v>
      </c>
      <c r="J200" s="3">
        <v>41829</v>
      </c>
      <c r="K200" s="2" t="s">
        <v>14</v>
      </c>
      <c r="L200" s="2" t="s">
        <v>1621</v>
      </c>
      <c r="M200" s="2" t="s">
        <v>1484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  <c r="S200" s="2">
        <v>0</v>
      </c>
    </row>
    <row r="201" spans="1:19" ht="26.25" x14ac:dyDescent="0.25">
      <c r="A201" s="2">
        <v>12528011</v>
      </c>
      <c r="B201" s="2" t="s">
        <v>10</v>
      </c>
      <c r="C201" s="2" t="s">
        <v>3124</v>
      </c>
      <c r="D201" s="2" t="s">
        <v>362</v>
      </c>
      <c r="E201" s="2" t="s">
        <v>512</v>
      </c>
      <c r="F201" s="2" t="s">
        <v>3464</v>
      </c>
      <c r="G201" s="2">
        <v>14020169272</v>
      </c>
      <c r="H201" s="2" t="s">
        <v>513</v>
      </c>
      <c r="I201" s="2" t="s">
        <v>514</v>
      </c>
      <c r="J201" s="3">
        <v>41166</v>
      </c>
      <c r="K201" s="2" t="s">
        <v>14</v>
      </c>
      <c r="L201" s="2" t="s">
        <v>1622</v>
      </c>
      <c r="M201" s="2" t="s">
        <v>1486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ht="26.25" x14ac:dyDescent="0.25">
      <c r="A202" s="2">
        <v>12520020</v>
      </c>
      <c r="B202" s="2" t="s">
        <v>10</v>
      </c>
      <c r="C202" s="2" t="s">
        <v>3118</v>
      </c>
      <c r="D202" s="2" t="s">
        <v>3118</v>
      </c>
      <c r="E202" s="2" t="s">
        <v>2829</v>
      </c>
      <c r="F202" s="2" t="s">
        <v>3465</v>
      </c>
      <c r="G202" s="2">
        <v>46738119560</v>
      </c>
      <c r="H202" s="2" t="s">
        <v>515</v>
      </c>
      <c r="I202" s="2" t="s">
        <v>516</v>
      </c>
      <c r="J202" s="3">
        <v>41163</v>
      </c>
      <c r="K202" s="2" t="s">
        <v>14</v>
      </c>
      <c r="L202" s="2" t="s">
        <v>3196</v>
      </c>
      <c r="M202" s="2" t="s">
        <v>1486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ht="39" x14ac:dyDescent="0.25">
      <c r="A203" s="2">
        <v>12528102</v>
      </c>
      <c r="B203" s="2" t="s">
        <v>10</v>
      </c>
      <c r="C203" s="2" t="s">
        <v>3124</v>
      </c>
      <c r="D203" s="2" t="s">
        <v>362</v>
      </c>
      <c r="E203" s="2" t="s">
        <v>2830</v>
      </c>
      <c r="F203" s="2" t="s">
        <v>3466</v>
      </c>
      <c r="G203" s="2">
        <v>25306449902</v>
      </c>
      <c r="H203" s="2" t="s">
        <v>517</v>
      </c>
      <c r="I203" s="2" t="s">
        <v>518</v>
      </c>
      <c r="J203" s="3">
        <v>41313</v>
      </c>
      <c r="K203" s="2" t="s">
        <v>14</v>
      </c>
      <c r="L203" s="2" t="s">
        <v>1623</v>
      </c>
      <c r="M203" s="2" t="s">
        <v>1484</v>
      </c>
      <c r="N203" s="2">
        <v>0</v>
      </c>
      <c r="O203" s="2">
        <v>0</v>
      </c>
      <c r="P203" s="2">
        <v>0</v>
      </c>
      <c r="Q203" s="2">
        <v>0</v>
      </c>
      <c r="R203" s="2">
        <v>1</v>
      </c>
      <c r="S203" s="2">
        <v>0</v>
      </c>
    </row>
    <row r="204" spans="1:19" ht="26.25" x14ac:dyDescent="0.25">
      <c r="A204" s="2">
        <v>12557002</v>
      </c>
      <c r="B204" s="2" t="s">
        <v>10</v>
      </c>
      <c r="C204" s="2" t="s">
        <v>209</v>
      </c>
      <c r="D204" s="2" t="s">
        <v>325</v>
      </c>
      <c r="E204" s="2" t="s">
        <v>2831</v>
      </c>
      <c r="F204" s="2" t="s">
        <v>3467</v>
      </c>
      <c r="G204" s="2">
        <v>24409627026</v>
      </c>
      <c r="H204" s="2" t="s">
        <v>519</v>
      </c>
      <c r="I204" s="2" t="s">
        <v>520</v>
      </c>
      <c r="J204" s="3">
        <v>41162</v>
      </c>
      <c r="K204" s="2" t="s">
        <v>14</v>
      </c>
      <c r="L204" s="2" t="s">
        <v>1592</v>
      </c>
      <c r="M204" s="2" t="s">
        <v>1486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ht="26.25" x14ac:dyDescent="0.25">
      <c r="A205" s="2">
        <v>14534015</v>
      </c>
      <c r="B205" s="2" t="s">
        <v>10</v>
      </c>
      <c r="C205" s="2" t="s">
        <v>32</v>
      </c>
      <c r="D205" s="2" t="s">
        <v>196</v>
      </c>
      <c r="E205" s="2" t="s">
        <v>2832</v>
      </c>
      <c r="F205" s="2" t="s">
        <v>3468</v>
      </c>
      <c r="G205" s="2">
        <v>41920513690</v>
      </c>
      <c r="H205" s="2" t="s">
        <v>521</v>
      </c>
      <c r="I205" s="2" t="s">
        <v>522</v>
      </c>
      <c r="J205" s="3">
        <v>41829</v>
      </c>
      <c r="K205" s="2" t="s">
        <v>14</v>
      </c>
      <c r="L205" s="2" t="s">
        <v>1624</v>
      </c>
      <c r="M205" s="2" t="s">
        <v>1484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>
        <v>0</v>
      </c>
    </row>
    <row r="206" spans="1:19" ht="39" x14ac:dyDescent="0.25">
      <c r="A206" s="2">
        <v>11534010</v>
      </c>
      <c r="B206" s="2" t="s">
        <v>10</v>
      </c>
      <c r="C206" s="2" t="s">
        <v>32</v>
      </c>
      <c r="D206" s="2" t="s">
        <v>196</v>
      </c>
      <c r="E206" s="2" t="s">
        <v>2833</v>
      </c>
      <c r="F206" s="2" t="s">
        <v>3469</v>
      </c>
      <c r="G206" s="2">
        <v>19019773928</v>
      </c>
      <c r="H206" s="2" t="s">
        <v>523</v>
      </c>
      <c r="I206" s="2" t="s">
        <v>524</v>
      </c>
      <c r="J206" s="3">
        <v>40806</v>
      </c>
      <c r="K206" s="2" t="s">
        <v>14</v>
      </c>
      <c r="L206" s="2" t="s">
        <v>3185</v>
      </c>
      <c r="M206" s="2" t="s">
        <v>1486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ht="39" x14ac:dyDescent="0.25">
      <c r="A207" s="2">
        <v>11502112</v>
      </c>
      <c r="B207" s="2" t="s">
        <v>10</v>
      </c>
      <c r="C207" s="2" t="s">
        <v>3132</v>
      </c>
      <c r="D207" s="2" t="s">
        <v>3132</v>
      </c>
      <c r="E207" s="2" t="s">
        <v>2834</v>
      </c>
      <c r="F207" s="2" t="s">
        <v>3470</v>
      </c>
      <c r="G207" s="2">
        <v>27191484860</v>
      </c>
      <c r="H207" s="2" t="s">
        <v>525</v>
      </c>
      <c r="I207" s="2" t="s">
        <v>526</v>
      </c>
      <c r="J207" s="3">
        <v>40954</v>
      </c>
      <c r="K207" s="2" t="s">
        <v>14</v>
      </c>
      <c r="L207" s="2" t="s">
        <v>3197</v>
      </c>
      <c r="M207" s="2" t="s">
        <v>1486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ht="39" x14ac:dyDescent="0.25">
      <c r="A208" s="2">
        <v>11521014</v>
      </c>
      <c r="B208" s="2" t="s">
        <v>10</v>
      </c>
      <c r="C208" s="2" t="s">
        <v>3119</v>
      </c>
      <c r="D208" s="2" t="s">
        <v>229</v>
      </c>
      <c r="E208" s="2" t="s">
        <v>2835</v>
      </c>
      <c r="F208" s="2" t="s">
        <v>3471</v>
      </c>
      <c r="G208" s="2">
        <v>28463015874</v>
      </c>
      <c r="H208" s="2" t="s">
        <v>527</v>
      </c>
      <c r="I208" s="2" t="s">
        <v>528</v>
      </c>
      <c r="J208" s="3">
        <v>40809</v>
      </c>
      <c r="K208" s="2" t="s">
        <v>14</v>
      </c>
      <c r="L208" s="2" t="s">
        <v>1625</v>
      </c>
      <c r="M208" s="2" t="s">
        <v>1486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ht="51.75" x14ac:dyDescent="0.25">
      <c r="A209" s="2">
        <v>13556002</v>
      </c>
      <c r="B209" s="2" t="s">
        <v>10</v>
      </c>
      <c r="C209" s="2" t="s">
        <v>209</v>
      </c>
      <c r="D209" s="2" t="s">
        <v>477</v>
      </c>
      <c r="E209" s="2" t="s">
        <v>2836</v>
      </c>
      <c r="F209" s="2" t="s">
        <v>3472</v>
      </c>
      <c r="G209" s="2">
        <v>20552409298</v>
      </c>
      <c r="H209" s="2" t="s">
        <v>529</v>
      </c>
      <c r="I209" s="2" t="s">
        <v>530</v>
      </c>
      <c r="J209" s="3">
        <v>41653</v>
      </c>
      <c r="K209" s="2" t="s">
        <v>14</v>
      </c>
      <c r="L209" s="2" t="s">
        <v>1611</v>
      </c>
      <c r="M209" s="2" t="s">
        <v>1484</v>
      </c>
      <c r="N209" s="2">
        <v>0</v>
      </c>
      <c r="O209" s="2">
        <v>0</v>
      </c>
      <c r="P209" s="2">
        <v>0</v>
      </c>
      <c r="Q209" s="2">
        <v>0</v>
      </c>
      <c r="R209" s="2">
        <v>1</v>
      </c>
      <c r="S209" s="2">
        <v>0</v>
      </c>
    </row>
    <row r="210" spans="1:19" ht="51.75" x14ac:dyDescent="0.25">
      <c r="A210" s="2">
        <v>12569002</v>
      </c>
      <c r="B210" s="2" t="s">
        <v>10</v>
      </c>
      <c r="C210" s="2" t="s">
        <v>488</v>
      </c>
      <c r="D210" s="2" t="s">
        <v>488</v>
      </c>
      <c r="E210" s="2" t="s">
        <v>2837</v>
      </c>
      <c r="F210" s="2" t="s">
        <v>3473</v>
      </c>
      <c r="G210" s="2">
        <v>38899096798</v>
      </c>
      <c r="H210" s="2" t="s">
        <v>531</v>
      </c>
      <c r="I210" s="2" t="s">
        <v>532</v>
      </c>
      <c r="J210" s="3">
        <v>41162</v>
      </c>
      <c r="K210" s="2" t="s">
        <v>14</v>
      </c>
      <c r="L210" s="2" t="s">
        <v>1626</v>
      </c>
      <c r="M210" s="2" t="s">
        <v>1486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ht="26.25" x14ac:dyDescent="0.25">
      <c r="A211" s="2">
        <v>16535012</v>
      </c>
      <c r="B211" s="2" t="s">
        <v>10</v>
      </c>
      <c r="C211" s="2" t="s">
        <v>32</v>
      </c>
      <c r="D211" s="2" t="s">
        <v>45</v>
      </c>
      <c r="E211" s="2" t="s">
        <v>2838</v>
      </c>
      <c r="F211" s="2" t="s">
        <v>3474</v>
      </c>
      <c r="G211" s="2">
        <v>35407848122</v>
      </c>
      <c r="H211" s="2" t="s">
        <v>533</v>
      </c>
      <c r="I211" s="2" t="s">
        <v>534</v>
      </c>
      <c r="J211" s="3">
        <v>42586</v>
      </c>
      <c r="K211" s="2" t="s">
        <v>14</v>
      </c>
      <c r="L211" s="2" t="s">
        <v>1617</v>
      </c>
      <c r="M211" s="2" t="s">
        <v>1484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2">
        <v>0</v>
      </c>
    </row>
    <row r="212" spans="1:19" ht="39" x14ac:dyDescent="0.25">
      <c r="A212" s="2">
        <v>16595001</v>
      </c>
      <c r="B212" s="2" t="s">
        <v>10</v>
      </c>
      <c r="C212" s="2" t="s">
        <v>209</v>
      </c>
      <c r="D212" s="2" t="s">
        <v>535</v>
      </c>
      <c r="E212" s="2" t="s">
        <v>536</v>
      </c>
      <c r="F212" s="2" t="s">
        <v>3475</v>
      </c>
      <c r="G212" s="2">
        <v>31367353270</v>
      </c>
      <c r="H212" s="2" t="s">
        <v>537</v>
      </c>
      <c r="I212" s="2" t="s">
        <v>538</v>
      </c>
      <c r="J212" s="3">
        <v>42585</v>
      </c>
      <c r="K212" s="2" t="s">
        <v>14</v>
      </c>
      <c r="L212" s="2" t="s">
        <v>1627</v>
      </c>
      <c r="M212" s="2" t="s">
        <v>1484</v>
      </c>
      <c r="N212" s="2">
        <v>0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</row>
    <row r="213" spans="1:19" ht="26.25" x14ac:dyDescent="0.25">
      <c r="A213" s="2" t="s">
        <v>540</v>
      </c>
      <c r="B213" s="2" t="s">
        <v>10</v>
      </c>
      <c r="C213" s="2" t="s">
        <v>3144</v>
      </c>
      <c r="D213" s="2" t="s">
        <v>368</v>
      </c>
      <c r="E213" s="2" t="s">
        <v>539</v>
      </c>
      <c r="F213" s="2" t="s">
        <v>3476</v>
      </c>
      <c r="G213" s="2">
        <v>48160222184</v>
      </c>
      <c r="H213" s="2" t="s">
        <v>541</v>
      </c>
      <c r="I213" s="2" t="s">
        <v>542</v>
      </c>
      <c r="J213" s="3">
        <v>42584</v>
      </c>
      <c r="K213" s="2" t="s">
        <v>14</v>
      </c>
      <c r="L213" s="2" t="s">
        <v>1580</v>
      </c>
      <c r="M213" s="2" t="s">
        <v>1484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 s="2">
        <v>0</v>
      </c>
    </row>
    <row r="214" spans="1:19" ht="26.25" x14ac:dyDescent="0.25">
      <c r="A214" s="2">
        <v>10532005</v>
      </c>
      <c r="B214" s="2" t="s">
        <v>10</v>
      </c>
      <c r="C214" s="2" t="s">
        <v>32</v>
      </c>
      <c r="D214" s="2" t="s">
        <v>33</v>
      </c>
      <c r="E214" s="2" t="s">
        <v>2839</v>
      </c>
      <c r="F214" s="2" t="s">
        <v>3477</v>
      </c>
      <c r="G214" s="2">
        <v>29440741472</v>
      </c>
      <c r="H214" s="2" t="s">
        <v>543</v>
      </c>
      <c r="I214" s="2" t="s">
        <v>544</v>
      </c>
      <c r="J214" s="3">
        <v>40443</v>
      </c>
      <c r="K214" s="2" t="s">
        <v>14</v>
      </c>
      <c r="L214" s="2" t="s">
        <v>1628</v>
      </c>
      <c r="M214" s="2" t="s">
        <v>1486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ht="39" x14ac:dyDescent="0.25">
      <c r="A215" s="2">
        <v>11556004</v>
      </c>
      <c r="B215" s="2" t="s">
        <v>10</v>
      </c>
      <c r="C215" s="2" t="s">
        <v>209</v>
      </c>
      <c r="D215" s="2" t="s">
        <v>210</v>
      </c>
      <c r="E215" s="2" t="s">
        <v>2840</v>
      </c>
      <c r="F215" s="2" t="s">
        <v>3478</v>
      </c>
      <c r="G215" s="2">
        <v>49399255882</v>
      </c>
      <c r="H215" s="2" t="s">
        <v>545</v>
      </c>
      <c r="I215" s="2" t="s">
        <v>546</v>
      </c>
      <c r="J215" s="3">
        <v>40807</v>
      </c>
      <c r="K215" s="2" t="s">
        <v>14</v>
      </c>
      <c r="L215" s="2" t="s">
        <v>1629</v>
      </c>
      <c r="M215" s="2" t="s">
        <v>1486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ht="51.75" x14ac:dyDescent="0.25">
      <c r="A216" s="2">
        <v>4527011</v>
      </c>
      <c r="B216" s="2" t="s">
        <v>10</v>
      </c>
      <c r="C216" s="2" t="s">
        <v>3124</v>
      </c>
      <c r="D216" s="2" t="s">
        <v>63</v>
      </c>
      <c r="E216" s="2" t="s">
        <v>2841</v>
      </c>
      <c r="F216" s="2" t="s">
        <v>3479</v>
      </c>
      <c r="G216" s="2">
        <v>40714292964</v>
      </c>
      <c r="H216" s="2" t="s">
        <v>547</v>
      </c>
      <c r="I216" s="2" t="s">
        <v>548</v>
      </c>
      <c r="J216" s="3">
        <v>40772</v>
      </c>
      <c r="K216" s="2" t="s">
        <v>14</v>
      </c>
      <c r="L216" s="2" t="s">
        <v>1630</v>
      </c>
      <c r="M216" s="2" t="s">
        <v>1486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ht="26.25" x14ac:dyDescent="0.25">
      <c r="A217" s="2">
        <v>12536010</v>
      </c>
      <c r="B217" s="2" t="s">
        <v>10</v>
      </c>
      <c r="C217" s="2" t="s">
        <v>32</v>
      </c>
      <c r="D217" s="2" t="s">
        <v>299</v>
      </c>
      <c r="E217" s="2" t="s">
        <v>549</v>
      </c>
      <c r="F217" s="2" t="s">
        <v>3480</v>
      </c>
      <c r="G217" s="2">
        <v>33184997194</v>
      </c>
      <c r="H217" s="2" t="s">
        <v>550</v>
      </c>
      <c r="I217" s="2" t="s">
        <v>551</v>
      </c>
      <c r="J217" s="3">
        <v>41163</v>
      </c>
      <c r="K217" s="2" t="s">
        <v>14</v>
      </c>
      <c r="L217" s="2" t="s">
        <v>1631</v>
      </c>
      <c r="M217" s="2" t="s">
        <v>1486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ht="26.25" x14ac:dyDescent="0.25">
      <c r="A218" s="2">
        <v>12522103</v>
      </c>
      <c r="B218" s="2" t="s">
        <v>10</v>
      </c>
      <c r="C218" s="2" t="s">
        <v>3119</v>
      </c>
      <c r="D218" s="2" t="s">
        <v>449</v>
      </c>
      <c r="E218" s="2" t="s">
        <v>2842</v>
      </c>
      <c r="F218" s="2" t="s">
        <v>3481</v>
      </c>
      <c r="G218" s="2">
        <v>59287545612</v>
      </c>
      <c r="H218" s="2" t="s">
        <v>552</v>
      </c>
      <c r="I218" s="2" t="s">
        <v>553</v>
      </c>
      <c r="J218" s="3">
        <v>41316</v>
      </c>
      <c r="K218" s="2" t="s">
        <v>14</v>
      </c>
      <c r="L218" s="2" t="s">
        <v>1632</v>
      </c>
      <c r="M218" s="2" t="s">
        <v>1484</v>
      </c>
      <c r="N218" s="2">
        <v>0</v>
      </c>
      <c r="O218" s="2">
        <v>0</v>
      </c>
      <c r="P218" s="2">
        <v>1</v>
      </c>
      <c r="Q218" s="2">
        <v>0</v>
      </c>
      <c r="R218" s="2">
        <v>0</v>
      </c>
      <c r="S218" s="2">
        <v>0</v>
      </c>
    </row>
    <row r="219" spans="1:19" ht="39" x14ac:dyDescent="0.25">
      <c r="A219" s="2">
        <v>11521305</v>
      </c>
      <c r="B219" s="2" t="s">
        <v>66</v>
      </c>
      <c r="C219" s="2" t="s">
        <v>3119</v>
      </c>
      <c r="D219" s="2" t="s">
        <v>229</v>
      </c>
      <c r="E219" s="2" t="s">
        <v>554</v>
      </c>
      <c r="F219" s="2" t="s">
        <v>3482</v>
      </c>
      <c r="G219" s="2">
        <v>48730206392</v>
      </c>
      <c r="H219" s="2" t="s">
        <v>555</v>
      </c>
      <c r="I219" s="2" t="s">
        <v>556</v>
      </c>
      <c r="J219" s="3">
        <v>40954</v>
      </c>
      <c r="K219" s="2" t="s">
        <v>14</v>
      </c>
      <c r="L219" s="2" t="s">
        <v>1625</v>
      </c>
      <c r="M219" s="2" t="s">
        <v>1484</v>
      </c>
      <c r="N219" s="2">
        <v>0</v>
      </c>
      <c r="O219" s="2">
        <v>0</v>
      </c>
      <c r="P219" s="2">
        <v>0</v>
      </c>
      <c r="Q219" s="2">
        <v>0</v>
      </c>
      <c r="R219" s="2">
        <v>1</v>
      </c>
      <c r="S219" s="2">
        <v>0</v>
      </c>
    </row>
    <row r="220" spans="1:19" ht="51.75" x14ac:dyDescent="0.25">
      <c r="A220" s="2">
        <v>15502002</v>
      </c>
      <c r="B220" s="2" t="s">
        <v>10</v>
      </c>
      <c r="C220" s="2" t="s">
        <v>3132</v>
      </c>
      <c r="D220" s="2" t="s">
        <v>3132</v>
      </c>
      <c r="E220" s="2" t="s">
        <v>2843</v>
      </c>
      <c r="F220" s="2" t="s">
        <v>3483</v>
      </c>
      <c r="G220" s="2">
        <v>37168438932</v>
      </c>
      <c r="H220" s="2" t="s">
        <v>557</v>
      </c>
      <c r="I220" s="2" t="s">
        <v>558</v>
      </c>
      <c r="J220" s="3">
        <v>42180</v>
      </c>
      <c r="K220" s="2" t="s">
        <v>14</v>
      </c>
      <c r="L220" s="2" t="s">
        <v>1633</v>
      </c>
      <c r="M220" s="2" t="s">
        <v>1484</v>
      </c>
      <c r="N220" s="2">
        <v>0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</row>
    <row r="221" spans="1:19" ht="26.25" x14ac:dyDescent="0.25">
      <c r="A221" s="2">
        <v>15557004</v>
      </c>
      <c r="B221" s="2" t="s">
        <v>10</v>
      </c>
      <c r="C221" s="2" t="s">
        <v>209</v>
      </c>
      <c r="D221" s="2" t="s">
        <v>325</v>
      </c>
      <c r="E221" s="2" t="s">
        <v>2844</v>
      </c>
      <c r="F221" s="2" t="s">
        <v>3484</v>
      </c>
      <c r="G221" s="2">
        <v>36016806640</v>
      </c>
      <c r="H221" s="2" t="s">
        <v>559</v>
      </c>
      <c r="I221" s="2" t="s">
        <v>560</v>
      </c>
      <c r="J221" s="3">
        <v>42188</v>
      </c>
      <c r="K221" s="2" t="s">
        <v>14</v>
      </c>
      <c r="L221" s="2" t="s">
        <v>1634</v>
      </c>
      <c r="M221" s="2" t="s">
        <v>1484</v>
      </c>
      <c r="N221" s="2">
        <v>0</v>
      </c>
      <c r="O221" s="2">
        <v>0</v>
      </c>
      <c r="P221" s="2">
        <v>0</v>
      </c>
      <c r="Q221" s="2">
        <v>0</v>
      </c>
      <c r="R221" s="2">
        <v>1</v>
      </c>
      <c r="S221" s="2">
        <v>0</v>
      </c>
    </row>
    <row r="222" spans="1:19" ht="26.25" x14ac:dyDescent="0.25">
      <c r="A222" s="2">
        <v>11520003</v>
      </c>
      <c r="B222" s="2" t="s">
        <v>10</v>
      </c>
      <c r="C222" s="2" t="s">
        <v>3118</v>
      </c>
      <c r="D222" s="2" t="s">
        <v>3118</v>
      </c>
      <c r="E222" s="2" t="s">
        <v>2845</v>
      </c>
      <c r="F222" s="2" t="s">
        <v>3485</v>
      </c>
      <c r="G222" s="2">
        <v>45214027566</v>
      </c>
      <c r="H222" s="2" t="s">
        <v>561</v>
      </c>
      <c r="I222" s="2" t="s">
        <v>562</v>
      </c>
      <c r="J222" s="3">
        <v>40807</v>
      </c>
      <c r="K222" s="2" t="s">
        <v>14</v>
      </c>
      <c r="L222" s="2" t="s">
        <v>1635</v>
      </c>
      <c r="M222" s="2" t="s">
        <v>1486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ht="39" x14ac:dyDescent="0.25">
      <c r="A223" s="2">
        <v>15558001</v>
      </c>
      <c r="B223" s="2" t="s">
        <v>10</v>
      </c>
      <c r="C223" s="2" t="s">
        <v>209</v>
      </c>
      <c r="D223" s="2" t="s">
        <v>281</v>
      </c>
      <c r="E223" s="2" t="s">
        <v>2846</v>
      </c>
      <c r="F223" s="2" t="s">
        <v>3486</v>
      </c>
      <c r="G223" s="2">
        <v>19039074968</v>
      </c>
      <c r="H223" s="2" t="s">
        <v>563</v>
      </c>
      <c r="I223" s="2" t="s">
        <v>564</v>
      </c>
      <c r="J223" s="3">
        <v>42181</v>
      </c>
      <c r="K223" s="2" t="s">
        <v>14</v>
      </c>
      <c r="L223" s="2" t="s">
        <v>1636</v>
      </c>
      <c r="M223" s="2" t="s">
        <v>1484</v>
      </c>
      <c r="N223" s="2">
        <v>0</v>
      </c>
      <c r="O223" s="2">
        <v>0</v>
      </c>
      <c r="P223" s="2">
        <v>1</v>
      </c>
      <c r="Q223" s="2">
        <v>0</v>
      </c>
      <c r="R223" s="2">
        <v>0</v>
      </c>
      <c r="S223" s="2">
        <v>0</v>
      </c>
    </row>
    <row r="224" spans="1:19" ht="39" x14ac:dyDescent="0.25">
      <c r="A224" s="2">
        <v>16504005</v>
      </c>
      <c r="B224" s="2" t="s">
        <v>10</v>
      </c>
      <c r="C224" s="2" t="s">
        <v>3123</v>
      </c>
      <c r="D224" s="2" t="s">
        <v>52</v>
      </c>
      <c r="E224" s="2" t="s">
        <v>2847</v>
      </c>
      <c r="F224" s="2" t="s">
        <v>3487</v>
      </c>
      <c r="G224" s="2">
        <v>39058351048</v>
      </c>
      <c r="H224" s="2" t="s">
        <v>565</v>
      </c>
      <c r="I224" s="2" t="s">
        <v>566</v>
      </c>
      <c r="J224" s="3">
        <v>42584</v>
      </c>
      <c r="K224" s="2" t="s">
        <v>14</v>
      </c>
      <c r="L224" s="2" t="s">
        <v>1552</v>
      </c>
      <c r="M224" s="2" t="s">
        <v>1484</v>
      </c>
      <c r="N224" s="2">
        <v>0</v>
      </c>
      <c r="O224" s="2">
        <v>0</v>
      </c>
      <c r="P224" s="2">
        <v>0</v>
      </c>
      <c r="Q224" s="2">
        <v>0</v>
      </c>
      <c r="R224" s="2">
        <v>1</v>
      </c>
      <c r="S224" s="2">
        <v>0</v>
      </c>
    </row>
    <row r="225" spans="1:19" ht="39" x14ac:dyDescent="0.25">
      <c r="A225" s="2">
        <v>11501020</v>
      </c>
      <c r="B225" s="2" t="s">
        <v>10</v>
      </c>
      <c r="C225" s="2" t="s">
        <v>3130</v>
      </c>
      <c r="D225" s="2" t="s">
        <v>3130</v>
      </c>
      <c r="E225" s="2" t="s">
        <v>567</v>
      </c>
      <c r="F225" s="2" t="s">
        <v>3488</v>
      </c>
      <c r="G225" s="2">
        <v>676903</v>
      </c>
      <c r="H225" s="2" t="s">
        <v>568</v>
      </c>
      <c r="I225" s="2" t="s">
        <v>569</v>
      </c>
      <c r="J225" s="3">
        <v>40807</v>
      </c>
      <c r="K225" s="2" t="s">
        <v>14</v>
      </c>
      <c r="L225" s="2" t="s">
        <v>3198</v>
      </c>
      <c r="M225" s="2" t="s">
        <v>1486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ht="26.25" x14ac:dyDescent="0.25">
      <c r="A226" s="2">
        <v>15508013</v>
      </c>
      <c r="B226" s="2" t="s">
        <v>10</v>
      </c>
      <c r="C226" s="2" t="s">
        <v>3142</v>
      </c>
      <c r="D226" s="2" t="s">
        <v>3142</v>
      </c>
      <c r="E226" s="2" t="s">
        <v>2848</v>
      </c>
      <c r="F226" s="2" t="s">
        <v>3489</v>
      </c>
      <c r="G226" s="2">
        <v>46492778782</v>
      </c>
      <c r="H226" s="2" t="s">
        <v>570</v>
      </c>
      <c r="I226" s="2" t="s">
        <v>571</v>
      </c>
      <c r="J226" s="3">
        <v>42188</v>
      </c>
      <c r="K226" s="2" t="s">
        <v>14</v>
      </c>
      <c r="L226" s="2" t="s">
        <v>3199</v>
      </c>
      <c r="M226" s="2" t="s">
        <v>1484</v>
      </c>
      <c r="N226" s="2">
        <v>0</v>
      </c>
      <c r="O226" s="2">
        <v>0</v>
      </c>
      <c r="P226" s="2">
        <v>0</v>
      </c>
      <c r="Q226" s="2">
        <v>0</v>
      </c>
      <c r="R226" s="2">
        <v>1</v>
      </c>
      <c r="S226" s="2">
        <v>0</v>
      </c>
    </row>
    <row r="227" spans="1:19" ht="39" x14ac:dyDescent="0.25">
      <c r="A227" s="2">
        <v>14567036</v>
      </c>
      <c r="B227" s="2" t="s">
        <v>66</v>
      </c>
      <c r="C227" s="2" t="s">
        <v>3121</v>
      </c>
      <c r="D227" s="2" t="s">
        <v>3121</v>
      </c>
      <c r="E227" s="2" t="s">
        <v>2849</v>
      </c>
      <c r="F227" s="2" t="s">
        <v>3490</v>
      </c>
      <c r="G227" s="2">
        <v>68809164248</v>
      </c>
      <c r="H227" s="2" t="s">
        <v>572</v>
      </c>
      <c r="I227" s="2" t="s">
        <v>573</v>
      </c>
      <c r="J227" s="3">
        <v>42093</v>
      </c>
      <c r="K227" s="2" t="s">
        <v>14</v>
      </c>
      <c r="L227" s="2" t="s">
        <v>3200</v>
      </c>
      <c r="M227" s="2" t="s">
        <v>1484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1</v>
      </c>
    </row>
    <row r="228" spans="1:19" ht="26.25" x14ac:dyDescent="0.25">
      <c r="A228" s="2">
        <v>15534006</v>
      </c>
      <c r="B228" s="2" t="s">
        <v>10</v>
      </c>
      <c r="C228" s="2" t="s">
        <v>32</v>
      </c>
      <c r="D228" s="2" t="s">
        <v>196</v>
      </c>
      <c r="E228" s="2" t="s">
        <v>574</v>
      </c>
      <c r="F228" s="2" t="s">
        <v>3491</v>
      </c>
      <c r="G228" s="2">
        <v>25367207596</v>
      </c>
      <c r="H228" s="2" t="s">
        <v>575</v>
      </c>
      <c r="I228" s="2" t="s">
        <v>576</v>
      </c>
      <c r="J228" s="3">
        <v>42185</v>
      </c>
      <c r="K228" s="2" t="s">
        <v>14</v>
      </c>
      <c r="L228" s="2" t="s">
        <v>3201</v>
      </c>
      <c r="M228" s="2" t="s">
        <v>1484</v>
      </c>
      <c r="N228" s="2">
        <v>0</v>
      </c>
      <c r="O228" s="2">
        <v>0</v>
      </c>
      <c r="P228" s="2">
        <v>1</v>
      </c>
      <c r="Q228" s="2">
        <v>0</v>
      </c>
      <c r="R228" s="2">
        <v>0</v>
      </c>
      <c r="S228" s="2">
        <v>0</v>
      </c>
    </row>
    <row r="229" spans="1:19" ht="39" x14ac:dyDescent="0.25">
      <c r="A229" s="2">
        <v>13522004</v>
      </c>
      <c r="B229" s="2" t="s">
        <v>10</v>
      </c>
      <c r="C229" s="2" t="s">
        <v>3119</v>
      </c>
      <c r="D229" s="2" t="s">
        <v>449</v>
      </c>
      <c r="E229" s="2" t="s">
        <v>2850</v>
      </c>
      <c r="F229" s="2" t="s">
        <v>3492</v>
      </c>
      <c r="G229" s="2">
        <v>43903139866</v>
      </c>
      <c r="H229" s="2" t="s">
        <v>577</v>
      </c>
      <c r="I229" s="2" t="s">
        <v>578</v>
      </c>
      <c r="J229" s="3">
        <v>41465</v>
      </c>
      <c r="K229" s="2" t="s">
        <v>14</v>
      </c>
      <c r="L229" s="2" t="s">
        <v>1637</v>
      </c>
      <c r="M229" s="2" t="s">
        <v>1484</v>
      </c>
      <c r="N229" s="2">
        <v>0</v>
      </c>
      <c r="O229" s="2">
        <v>0</v>
      </c>
      <c r="P229" s="2">
        <v>0</v>
      </c>
      <c r="Q229" s="2">
        <v>1</v>
      </c>
      <c r="R229" s="2">
        <v>0</v>
      </c>
      <c r="S229" s="2">
        <v>0</v>
      </c>
    </row>
    <row r="230" spans="1:19" ht="26.25" x14ac:dyDescent="0.25">
      <c r="A230" s="2">
        <v>15530016</v>
      </c>
      <c r="B230" s="2" t="s">
        <v>10</v>
      </c>
      <c r="C230" s="2" t="s">
        <v>32</v>
      </c>
      <c r="D230" s="2" t="s">
        <v>48</v>
      </c>
      <c r="E230" s="2" t="s">
        <v>2851</v>
      </c>
      <c r="F230" s="2" t="s">
        <v>3493</v>
      </c>
      <c r="G230" s="2">
        <v>41491135154</v>
      </c>
      <c r="H230" s="2" t="s">
        <v>579</v>
      </c>
      <c r="I230" s="2" t="s">
        <v>580</v>
      </c>
      <c r="J230" s="3">
        <v>42394</v>
      </c>
      <c r="K230" s="2" t="s">
        <v>14</v>
      </c>
      <c r="L230" s="2" t="s">
        <v>1638</v>
      </c>
      <c r="M230" s="2" t="s">
        <v>1484</v>
      </c>
      <c r="N230" s="2">
        <v>0</v>
      </c>
      <c r="O230" s="2">
        <v>0</v>
      </c>
      <c r="P230" s="2">
        <v>1</v>
      </c>
      <c r="Q230" s="2">
        <v>0</v>
      </c>
      <c r="R230" s="2">
        <v>0</v>
      </c>
      <c r="S230" s="2">
        <v>0</v>
      </c>
    </row>
    <row r="231" spans="1:19" ht="51.75" x14ac:dyDescent="0.25">
      <c r="A231" s="2">
        <v>16569006</v>
      </c>
      <c r="B231" s="2" t="s">
        <v>10</v>
      </c>
      <c r="C231" s="2" t="s">
        <v>488</v>
      </c>
      <c r="D231" s="2" t="s">
        <v>488</v>
      </c>
      <c r="E231" s="2" t="s">
        <v>2852</v>
      </c>
      <c r="F231" s="2" t="s">
        <v>3494</v>
      </c>
      <c r="G231" s="2">
        <v>10951625368</v>
      </c>
      <c r="H231" s="2" t="s">
        <v>581</v>
      </c>
      <c r="I231" s="2" t="s">
        <v>582</v>
      </c>
      <c r="J231" s="3">
        <v>42587</v>
      </c>
      <c r="K231" s="2" t="s">
        <v>14</v>
      </c>
      <c r="L231" s="2" t="s">
        <v>1626</v>
      </c>
      <c r="M231" s="2" t="s">
        <v>1484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s="2">
        <v>0</v>
      </c>
    </row>
    <row r="232" spans="1:19" ht="39" x14ac:dyDescent="0.25">
      <c r="A232" s="2">
        <v>11558004</v>
      </c>
      <c r="B232" s="2" t="s">
        <v>10</v>
      </c>
      <c r="C232" s="2" t="s">
        <v>209</v>
      </c>
      <c r="D232" s="2" t="s">
        <v>281</v>
      </c>
      <c r="E232" s="2" t="s">
        <v>2853</v>
      </c>
      <c r="F232" s="2" t="s">
        <v>3495</v>
      </c>
      <c r="G232" s="2">
        <v>34006874754</v>
      </c>
      <c r="H232" s="2" t="s">
        <v>583</v>
      </c>
      <c r="I232" s="2" t="s">
        <v>584</v>
      </c>
      <c r="J232" s="3">
        <v>40806</v>
      </c>
      <c r="K232" s="2" t="s">
        <v>14</v>
      </c>
      <c r="L232" s="2" t="s">
        <v>1639</v>
      </c>
      <c r="M232" s="2" t="s">
        <v>1486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ht="39" x14ac:dyDescent="0.25">
      <c r="A233" s="2">
        <v>16532006</v>
      </c>
      <c r="B233" s="2" t="s">
        <v>10</v>
      </c>
      <c r="C233" s="2" t="s">
        <v>32</v>
      </c>
      <c r="D233" s="2" t="s">
        <v>33</v>
      </c>
      <c r="E233" s="2" t="s">
        <v>2854</v>
      </c>
      <c r="F233" s="2" t="s">
        <v>3496</v>
      </c>
      <c r="G233" s="2">
        <v>24289995086</v>
      </c>
      <c r="H233" s="2" t="s">
        <v>585</v>
      </c>
      <c r="I233" s="2" t="s">
        <v>586</v>
      </c>
      <c r="J233" s="3">
        <v>42584</v>
      </c>
      <c r="K233" s="2" t="s">
        <v>14</v>
      </c>
      <c r="L233" s="2" t="s">
        <v>3202</v>
      </c>
      <c r="M233" s="2" t="s">
        <v>1484</v>
      </c>
      <c r="N233" s="2">
        <v>0</v>
      </c>
      <c r="O233" s="2">
        <v>0</v>
      </c>
      <c r="P233" s="2">
        <v>0</v>
      </c>
      <c r="Q233" s="2">
        <v>0</v>
      </c>
      <c r="R233" s="2">
        <v>1</v>
      </c>
      <c r="S233" s="2">
        <v>0</v>
      </c>
    </row>
    <row r="234" spans="1:19" ht="39" x14ac:dyDescent="0.25">
      <c r="A234" s="2">
        <v>12558009</v>
      </c>
      <c r="B234" s="2" t="s">
        <v>10</v>
      </c>
      <c r="C234" s="2" t="s">
        <v>209</v>
      </c>
      <c r="D234" s="2" t="s">
        <v>281</v>
      </c>
      <c r="E234" s="2" t="s">
        <v>2855</v>
      </c>
      <c r="F234" s="2" t="s">
        <v>3497</v>
      </c>
      <c r="G234" s="2">
        <v>39602167330</v>
      </c>
      <c r="H234" s="2" t="s">
        <v>587</v>
      </c>
      <c r="I234" s="2" t="s">
        <v>588</v>
      </c>
      <c r="J234" s="3">
        <v>41166</v>
      </c>
      <c r="K234" s="2" t="s">
        <v>14</v>
      </c>
      <c r="L234" s="2" t="s">
        <v>3203</v>
      </c>
      <c r="M234" s="2" t="s">
        <v>1486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ht="39" x14ac:dyDescent="0.25">
      <c r="A235" s="2">
        <v>11509007</v>
      </c>
      <c r="B235" s="2" t="s">
        <v>10</v>
      </c>
      <c r="C235" s="2" t="s">
        <v>3128</v>
      </c>
      <c r="D235" s="2" t="s">
        <v>468</v>
      </c>
      <c r="E235" s="2" t="s">
        <v>2856</v>
      </c>
      <c r="F235" s="2" t="s">
        <v>3498</v>
      </c>
      <c r="G235" s="2">
        <v>24035012906</v>
      </c>
      <c r="H235" s="2" t="s">
        <v>589</v>
      </c>
      <c r="I235" s="2" t="s">
        <v>590</v>
      </c>
      <c r="J235" s="3">
        <v>40806</v>
      </c>
      <c r="K235" s="2" t="s">
        <v>14</v>
      </c>
      <c r="L235" s="2" t="s">
        <v>1640</v>
      </c>
      <c r="M235" s="2" t="s">
        <v>1486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ht="26.25" x14ac:dyDescent="0.25">
      <c r="A236" s="2">
        <v>16535006</v>
      </c>
      <c r="B236" s="2" t="s">
        <v>10</v>
      </c>
      <c r="C236" s="2" t="s">
        <v>32</v>
      </c>
      <c r="D236" s="2" t="s">
        <v>45</v>
      </c>
      <c r="E236" s="2" t="s">
        <v>2857</v>
      </c>
      <c r="F236" s="2" t="s">
        <v>3499</v>
      </c>
      <c r="G236" s="2">
        <v>17144815292</v>
      </c>
      <c r="H236" s="2" t="s">
        <v>591</v>
      </c>
      <c r="I236" s="2" t="s">
        <v>592</v>
      </c>
      <c r="J236" s="3">
        <v>42583</v>
      </c>
      <c r="K236" s="2" t="s">
        <v>14</v>
      </c>
      <c r="L236" s="2" t="s">
        <v>1641</v>
      </c>
      <c r="M236" s="2" t="s">
        <v>1484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1</v>
      </c>
    </row>
    <row r="237" spans="1:19" ht="26.25" x14ac:dyDescent="0.25">
      <c r="A237" s="2">
        <v>15518021</v>
      </c>
      <c r="B237" s="2" t="s">
        <v>10</v>
      </c>
      <c r="C237" s="2" t="s">
        <v>167</v>
      </c>
      <c r="D237" s="2" t="s">
        <v>593</v>
      </c>
      <c r="E237" s="2" t="s">
        <v>2858</v>
      </c>
      <c r="F237" s="2" t="s">
        <v>3500</v>
      </c>
      <c r="G237" s="2">
        <v>32587280162</v>
      </c>
      <c r="H237" s="2" t="s">
        <v>594</v>
      </c>
      <c r="I237" s="2" t="s">
        <v>595</v>
      </c>
      <c r="J237" s="3">
        <v>42390</v>
      </c>
      <c r="K237" s="2" t="s">
        <v>14</v>
      </c>
      <c r="L237" s="2" t="s">
        <v>1642</v>
      </c>
      <c r="M237" s="2" t="s">
        <v>1484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</row>
    <row r="238" spans="1:19" ht="26.25" x14ac:dyDescent="0.25">
      <c r="A238" s="2">
        <v>13520031</v>
      </c>
      <c r="B238" s="2" t="s">
        <v>10</v>
      </c>
      <c r="C238" s="2" t="s">
        <v>3118</v>
      </c>
      <c r="D238" s="2" t="s">
        <v>3118</v>
      </c>
      <c r="E238" s="2" t="s">
        <v>2859</v>
      </c>
      <c r="F238" s="2" t="s">
        <v>3501</v>
      </c>
      <c r="G238" s="2">
        <v>60559156580</v>
      </c>
      <c r="H238" s="2" t="s">
        <v>596</v>
      </c>
      <c r="I238" s="2" t="s">
        <v>597</v>
      </c>
      <c r="J238" s="3">
        <v>41519</v>
      </c>
      <c r="K238" s="2" t="s">
        <v>14</v>
      </c>
      <c r="L238" s="2" t="s">
        <v>1643</v>
      </c>
      <c r="M238" s="2" t="s">
        <v>1484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</row>
    <row r="239" spans="1:19" ht="26.25" x14ac:dyDescent="0.25">
      <c r="A239" s="2">
        <v>16530003</v>
      </c>
      <c r="B239" s="2" t="s">
        <v>10</v>
      </c>
      <c r="C239" s="2" t="s">
        <v>32</v>
      </c>
      <c r="D239" s="2" t="s">
        <v>48</v>
      </c>
      <c r="E239" s="2" t="s">
        <v>2860</v>
      </c>
      <c r="F239" s="2" t="s">
        <v>3502</v>
      </c>
      <c r="G239" s="2">
        <v>35485392302</v>
      </c>
      <c r="H239" s="2" t="s">
        <v>598</v>
      </c>
      <c r="I239" s="2" t="s">
        <v>599</v>
      </c>
      <c r="J239" s="3">
        <v>42583</v>
      </c>
      <c r="K239" s="2" t="s">
        <v>14</v>
      </c>
      <c r="L239" s="2" t="s">
        <v>1606</v>
      </c>
      <c r="M239" s="2" t="s">
        <v>1484</v>
      </c>
      <c r="N239" s="2">
        <v>0</v>
      </c>
      <c r="O239" s="2">
        <v>0</v>
      </c>
      <c r="P239" s="2">
        <v>0</v>
      </c>
      <c r="Q239" s="2">
        <v>0</v>
      </c>
      <c r="R239" s="2">
        <v>1</v>
      </c>
      <c r="S239" s="2">
        <v>0</v>
      </c>
    </row>
    <row r="240" spans="1:19" ht="26.25" x14ac:dyDescent="0.25">
      <c r="A240" s="2">
        <v>15557009</v>
      </c>
      <c r="B240" s="2" t="s">
        <v>10</v>
      </c>
      <c r="C240" s="2" t="s">
        <v>209</v>
      </c>
      <c r="D240" s="2" t="s">
        <v>325</v>
      </c>
      <c r="E240" s="2" t="s">
        <v>2861</v>
      </c>
      <c r="F240" s="2" t="s">
        <v>3503</v>
      </c>
      <c r="G240" s="2">
        <v>16966910222</v>
      </c>
      <c r="H240" s="2" t="s">
        <v>600</v>
      </c>
      <c r="I240" s="2" t="s">
        <v>601</v>
      </c>
      <c r="J240" s="3">
        <v>42391</v>
      </c>
      <c r="K240" s="2" t="s">
        <v>14</v>
      </c>
      <c r="L240" s="2" t="s">
        <v>1644</v>
      </c>
      <c r="M240" s="2" t="s">
        <v>1484</v>
      </c>
      <c r="N240" s="2">
        <v>0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</row>
    <row r="241" spans="1:19" ht="39" x14ac:dyDescent="0.25">
      <c r="A241" s="2">
        <v>14534021</v>
      </c>
      <c r="B241" s="2" t="s">
        <v>10</v>
      </c>
      <c r="C241" s="2" t="s">
        <v>32</v>
      </c>
      <c r="D241" s="2" t="s">
        <v>196</v>
      </c>
      <c r="E241" s="2" t="s">
        <v>602</v>
      </c>
      <c r="F241" s="2" t="s">
        <v>3504</v>
      </c>
      <c r="G241" s="2">
        <v>61147206298</v>
      </c>
      <c r="H241" s="2" t="s">
        <v>603</v>
      </c>
      <c r="I241" s="2" t="s">
        <v>604</v>
      </c>
      <c r="J241" s="3">
        <v>41886</v>
      </c>
      <c r="K241" s="2" t="s">
        <v>14</v>
      </c>
      <c r="L241" s="2" t="s">
        <v>3204</v>
      </c>
      <c r="M241" s="2" t="s">
        <v>1484</v>
      </c>
      <c r="N241" s="2">
        <v>0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</row>
    <row r="242" spans="1:19" ht="39" x14ac:dyDescent="0.25">
      <c r="A242" s="2">
        <v>16593007</v>
      </c>
      <c r="B242" s="2" t="s">
        <v>10</v>
      </c>
      <c r="C242" s="2" t="s">
        <v>408</v>
      </c>
      <c r="D242" s="2" t="s">
        <v>368</v>
      </c>
      <c r="E242" s="2" t="s">
        <v>605</v>
      </c>
      <c r="F242" s="2" t="s">
        <v>3505</v>
      </c>
      <c r="G242" s="2">
        <v>48031764058</v>
      </c>
      <c r="H242" s="2" t="s">
        <v>606</v>
      </c>
      <c r="I242" s="2" t="s">
        <v>607</v>
      </c>
      <c r="J242" s="3">
        <v>42586</v>
      </c>
      <c r="K242" s="2" t="s">
        <v>14</v>
      </c>
      <c r="L242" s="2" t="s">
        <v>1590</v>
      </c>
      <c r="M242" s="2" t="s">
        <v>1484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>
        <v>0</v>
      </c>
    </row>
    <row r="243" spans="1:19" ht="26.25" x14ac:dyDescent="0.25">
      <c r="A243" s="2">
        <v>11534004</v>
      </c>
      <c r="B243" s="2" t="s">
        <v>10</v>
      </c>
      <c r="C243" s="2" t="s">
        <v>32</v>
      </c>
      <c r="D243" s="2" t="s">
        <v>196</v>
      </c>
      <c r="E243" s="2" t="s">
        <v>2862</v>
      </c>
      <c r="F243" s="2" t="s">
        <v>3506</v>
      </c>
      <c r="G243" s="2">
        <v>39010809112</v>
      </c>
      <c r="H243" s="2" t="s">
        <v>608</v>
      </c>
      <c r="I243" s="2" t="s">
        <v>609</v>
      </c>
      <c r="J243" s="3">
        <v>40805</v>
      </c>
      <c r="K243" s="2" t="s">
        <v>14</v>
      </c>
      <c r="L243" s="2" t="s">
        <v>1581</v>
      </c>
      <c r="M243" s="2" t="s">
        <v>1486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ht="26.25" x14ac:dyDescent="0.25">
      <c r="A244" s="2">
        <v>11522111</v>
      </c>
      <c r="B244" s="2" t="s">
        <v>10</v>
      </c>
      <c r="C244" s="2" t="s">
        <v>3119</v>
      </c>
      <c r="D244" s="2" t="s">
        <v>449</v>
      </c>
      <c r="E244" s="2" t="s">
        <v>2863</v>
      </c>
      <c r="F244" s="2" t="s">
        <v>3507</v>
      </c>
      <c r="G244" s="2">
        <v>58111354222</v>
      </c>
      <c r="H244" s="2" t="s">
        <v>610</v>
      </c>
      <c r="I244" s="2" t="s">
        <v>611</v>
      </c>
      <c r="J244" s="3">
        <v>40954</v>
      </c>
      <c r="K244" s="2" t="s">
        <v>14</v>
      </c>
      <c r="L244" s="2" t="s">
        <v>1645</v>
      </c>
      <c r="M244" s="2" t="s">
        <v>1486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ht="39" x14ac:dyDescent="0.25">
      <c r="A245" s="2">
        <v>16521019</v>
      </c>
      <c r="B245" s="2" t="s">
        <v>10</v>
      </c>
      <c r="C245" s="2" t="s">
        <v>3119</v>
      </c>
      <c r="D245" s="2" t="s">
        <v>229</v>
      </c>
      <c r="E245" s="2" t="s">
        <v>612</v>
      </c>
      <c r="F245" s="2" t="s">
        <v>3508</v>
      </c>
      <c r="G245" s="2">
        <v>35140569902</v>
      </c>
      <c r="H245" s="2" t="s">
        <v>613</v>
      </c>
      <c r="I245" s="2" t="s">
        <v>614</v>
      </c>
      <c r="J245" s="3">
        <v>42758</v>
      </c>
      <c r="K245" s="2" t="s">
        <v>14</v>
      </c>
      <c r="L245" s="2" t="s">
        <v>1646</v>
      </c>
      <c r="M245" s="2" t="s">
        <v>1484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</v>
      </c>
    </row>
    <row r="246" spans="1:19" ht="26.25" x14ac:dyDescent="0.25">
      <c r="A246" s="2">
        <v>13520014</v>
      </c>
      <c r="B246" s="2" t="s">
        <v>10</v>
      </c>
      <c r="C246" s="2" t="s">
        <v>3118</v>
      </c>
      <c r="D246" s="2" t="s">
        <v>3118</v>
      </c>
      <c r="E246" s="2" t="s">
        <v>615</v>
      </c>
      <c r="F246" s="2" t="s">
        <v>3509</v>
      </c>
      <c r="G246" s="2">
        <v>32236959616</v>
      </c>
      <c r="H246" s="2" t="s">
        <v>616</v>
      </c>
      <c r="I246" s="2" t="s">
        <v>617</v>
      </c>
      <c r="J246" s="3">
        <v>41463</v>
      </c>
      <c r="K246" s="2" t="s">
        <v>14</v>
      </c>
      <c r="L246" s="2" t="s">
        <v>1635</v>
      </c>
      <c r="M246" s="2" t="s">
        <v>1486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ht="26.25" x14ac:dyDescent="0.25">
      <c r="A247" s="2">
        <v>16535003</v>
      </c>
      <c r="B247" s="2" t="s">
        <v>10</v>
      </c>
      <c r="C247" s="2" t="s">
        <v>32</v>
      </c>
      <c r="D247" s="2" t="s">
        <v>45</v>
      </c>
      <c r="E247" s="2" t="s">
        <v>2864</v>
      </c>
      <c r="F247" s="2" t="s">
        <v>3510</v>
      </c>
      <c r="G247" s="2">
        <v>26533113802</v>
      </c>
      <c r="H247" s="2" t="s">
        <v>618</v>
      </c>
      <c r="I247" s="2" t="s">
        <v>619</v>
      </c>
      <c r="J247" s="3">
        <v>42583</v>
      </c>
      <c r="K247" s="2" t="s">
        <v>14</v>
      </c>
      <c r="L247" s="2" t="s">
        <v>1647</v>
      </c>
      <c r="M247" s="2" t="s">
        <v>1484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</row>
    <row r="248" spans="1:19" ht="26.25" x14ac:dyDescent="0.25">
      <c r="A248" s="2">
        <v>14533019</v>
      </c>
      <c r="B248" s="2" t="s">
        <v>10</v>
      </c>
      <c r="C248" s="2" t="s">
        <v>32</v>
      </c>
      <c r="D248" s="2" t="s">
        <v>132</v>
      </c>
      <c r="E248" s="2" t="s">
        <v>620</v>
      </c>
      <c r="F248" s="2" t="s">
        <v>3511</v>
      </c>
      <c r="G248" s="2">
        <v>64303085942</v>
      </c>
      <c r="H248" s="2" t="s">
        <v>621</v>
      </c>
      <c r="I248" s="2" t="s">
        <v>622</v>
      </c>
      <c r="J248" s="3">
        <v>42013</v>
      </c>
      <c r="K248" s="2" t="s">
        <v>14</v>
      </c>
      <c r="L248" s="2" t="s">
        <v>1648</v>
      </c>
      <c r="M248" s="2" t="s">
        <v>1484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</v>
      </c>
    </row>
    <row r="249" spans="1:19" ht="51.75" x14ac:dyDescent="0.25">
      <c r="A249" s="2">
        <v>10513109</v>
      </c>
      <c r="B249" s="2" t="s">
        <v>10</v>
      </c>
      <c r="C249" s="2" t="s">
        <v>3126</v>
      </c>
      <c r="D249" s="2" t="s">
        <v>3126</v>
      </c>
      <c r="E249" s="2" t="s">
        <v>2865</v>
      </c>
      <c r="F249" s="2" t="s">
        <v>3512</v>
      </c>
      <c r="G249" s="2">
        <v>68563235536</v>
      </c>
      <c r="H249" s="2" t="s">
        <v>623</v>
      </c>
      <c r="I249" s="2" t="s">
        <v>624</v>
      </c>
      <c r="J249" s="3">
        <v>40589</v>
      </c>
      <c r="K249" s="2" t="s">
        <v>14</v>
      </c>
      <c r="L249" s="2" t="s">
        <v>3205</v>
      </c>
      <c r="M249" s="2" t="s">
        <v>1486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ht="26.25" x14ac:dyDescent="0.25">
      <c r="A250" s="2">
        <v>11557002</v>
      </c>
      <c r="B250" s="2" t="s">
        <v>10</v>
      </c>
      <c r="C250" s="2" t="s">
        <v>209</v>
      </c>
      <c r="D250" s="2" t="s">
        <v>325</v>
      </c>
      <c r="E250" s="2" t="s">
        <v>625</v>
      </c>
      <c r="F250" s="2" t="s">
        <v>3513</v>
      </c>
      <c r="G250" s="2">
        <v>15344387274</v>
      </c>
      <c r="H250" s="2" t="s">
        <v>626</v>
      </c>
      <c r="I250" s="2" t="s">
        <v>627</v>
      </c>
      <c r="J250" s="3">
        <v>40806</v>
      </c>
      <c r="K250" s="2" t="s">
        <v>14</v>
      </c>
      <c r="L250" s="2" t="s">
        <v>1649</v>
      </c>
      <c r="M250" s="2" t="s">
        <v>1486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ht="39" x14ac:dyDescent="0.25">
      <c r="A251" s="2">
        <v>13526002</v>
      </c>
      <c r="B251" s="2" t="s">
        <v>10</v>
      </c>
      <c r="C251" s="2" t="s">
        <v>3134</v>
      </c>
      <c r="D251" s="2" t="s">
        <v>3134</v>
      </c>
      <c r="E251" s="2" t="s">
        <v>2866</v>
      </c>
      <c r="F251" s="2" t="s">
        <v>3514</v>
      </c>
      <c r="G251" s="2">
        <v>34969487718</v>
      </c>
      <c r="H251" s="2" t="s">
        <v>628</v>
      </c>
      <c r="I251" s="2" t="s">
        <v>629</v>
      </c>
      <c r="J251" s="3">
        <v>41459</v>
      </c>
      <c r="K251" s="2" t="s">
        <v>14</v>
      </c>
      <c r="L251" s="2" t="s">
        <v>1650</v>
      </c>
      <c r="M251" s="2" t="s">
        <v>1484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</row>
    <row r="252" spans="1:19" ht="39" x14ac:dyDescent="0.25">
      <c r="A252" s="2">
        <v>15534003</v>
      </c>
      <c r="B252" s="2" t="s">
        <v>10</v>
      </c>
      <c r="C252" s="2" t="s">
        <v>32</v>
      </c>
      <c r="D252" s="2" t="s">
        <v>196</v>
      </c>
      <c r="E252" s="2" t="s">
        <v>2867</v>
      </c>
      <c r="F252" s="2" t="s">
        <v>3515</v>
      </c>
      <c r="G252" s="2">
        <v>24244206004</v>
      </c>
      <c r="H252" s="2" t="s">
        <v>630</v>
      </c>
      <c r="I252" s="2" t="s">
        <v>631</v>
      </c>
      <c r="J252" s="3">
        <v>42184</v>
      </c>
      <c r="K252" s="2" t="s">
        <v>14</v>
      </c>
      <c r="L252" s="2" t="s">
        <v>1651</v>
      </c>
      <c r="M252" s="2" t="s">
        <v>1484</v>
      </c>
      <c r="N252" s="2">
        <v>0</v>
      </c>
      <c r="O252" s="2">
        <v>0</v>
      </c>
      <c r="P252" s="2">
        <v>0</v>
      </c>
      <c r="Q252" s="2">
        <v>0</v>
      </c>
      <c r="R252" s="2">
        <v>1</v>
      </c>
      <c r="S252" s="2">
        <v>0</v>
      </c>
    </row>
    <row r="253" spans="1:19" ht="39" x14ac:dyDescent="0.25">
      <c r="A253" s="2">
        <v>14536011</v>
      </c>
      <c r="B253" s="2" t="s">
        <v>10</v>
      </c>
      <c r="C253" s="2" t="s">
        <v>32</v>
      </c>
      <c r="D253" s="2" t="s">
        <v>299</v>
      </c>
      <c r="E253" s="2" t="s">
        <v>2868</v>
      </c>
      <c r="F253" s="2" t="s">
        <v>3516</v>
      </c>
      <c r="G253" s="2">
        <v>42743013442</v>
      </c>
      <c r="H253" s="2" t="s">
        <v>632</v>
      </c>
      <c r="I253" s="2" t="s">
        <v>633</v>
      </c>
      <c r="J253" s="3">
        <v>41823</v>
      </c>
      <c r="K253" s="2" t="s">
        <v>14</v>
      </c>
      <c r="L253" s="2" t="s">
        <v>1652</v>
      </c>
      <c r="M253" s="2" t="s">
        <v>1484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</row>
    <row r="254" spans="1:19" ht="39" x14ac:dyDescent="0.25">
      <c r="A254" s="2">
        <v>15561005</v>
      </c>
      <c r="B254" s="2" t="s">
        <v>10</v>
      </c>
      <c r="C254" s="2" t="s">
        <v>32</v>
      </c>
      <c r="D254" s="2" t="s">
        <v>42</v>
      </c>
      <c r="E254" s="2" t="s">
        <v>634</v>
      </c>
      <c r="F254" s="2" t="s">
        <v>3517</v>
      </c>
      <c r="G254" s="2">
        <v>47047443216</v>
      </c>
      <c r="H254" s="2" t="s">
        <v>635</v>
      </c>
      <c r="I254" s="2" t="s">
        <v>636</v>
      </c>
      <c r="J254" s="3">
        <v>42185</v>
      </c>
      <c r="K254" s="2" t="s">
        <v>14</v>
      </c>
      <c r="L254" s="2" t="s">
        <v>1653</v>
      </c>
      <c r="M254" s="2" t="s">
        <v>1484</v>
      </c>
      <c r="N254" s="2">
        <v>0</v>
      </c>
      <c r="O254" s="2">
        <v>0</v>
      </c>
      <c r="P254" s="2">
        <v>0</v>
      </c>
      <c r="Q254" s="2">
        <v>0</v>
      </c>
      <c r="R254" s="2">
        <v>1</v>
      </c>
      <c r="S254" s="2">
        <v>0</v>
      </c>
    </row>
    <row r="255" spans="1:19" ht="39" x14ac:dyDescent="0.25">
      <c r="A255" s="2">
        <v>15508019</v>
      </c>
      <c r="B255" s="2" t="s">
        <v>10</v>
      </c>
      <c r="C255" s="2" t="s">
        <v>3142</v>
      </c>
      <c r="D255" s="2" t="s">
        <v>3142</v>
      </c>
      <c r="E255" s="2" t="s">
        <v>637</v>
      </c>
      <c r="F255" s="2" t="s">
        <v>3518</v>
      </c>
      <c r="G255" s="2">
        <v>99776307086</v>
      </c>
      <c r="H255" s="2" t="s">
        <v>638</v>
      </c>
      <c r="I255" s="2" t="s">
        <v>639</v>
      </c>
      <c r="J255" s="3">
        <v>42275</v>
      </c>
      <c r="K255" s="2" t="s">
        <v>14</v>
      </c>
      <c r="L255" s="2" t="s">
        <v>1654</v>
      </c>
      <c r="M255" s="2" t="s">
        <v>1484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</row>
    <row r="256" spans="1:19" ht="26.25" x14ac:dyDescent="0.25">
      <c r="A256" s="2">
        <v>13558012</v>
      </c>
      <c r="B256" s="2" t="s">
        <v>10</v>
      </c>
      <c r="C256" s="2" t="s">
        <v>209</v>
      </c>
      <c r="D256" s="2" t="s">
        <v>210</v>
      </c>
      <c r="E256" s="2" t="s">
        <v>2869</v>
      </c>
      <c r="F256" s="2" t="s">
        <v>3519</v>
      </c>
      <c r="G256" s="2">
        <v>44845992656</v>
      </c>
      <c r="H256" s="2" t="s">
        <v>640</v>
      </c>
      <c r="I256" s="2" t="s">
        <v>641</v>
      </c>
      <c r="J256" s="3">
        <v>41676</v>
      </c>
      <c r="K256" s="2" t="s">
        <v>14</v>
      </c>
      <c r="L256" s="2" t="s">
        <v>3206</v>
      </c>
      <c r="M256" s="2" t="s">
        <v>1484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  <c r="S256" s="2">
        <v>0</v>
      </c>
    </row>
    <row r="257" spans="1:19" ht="26.25" x14ac:dyDescent="0.25">
      <c r="A257" s="2">
        <v>14521012</v>
      </c>
      <c r="B257" s="2" t="s">
        <v>10</v>
      </c>
      <c r="C257" s="2" t="s">
        <v>3119</v>
      </c>
      <c r="D257" s="2" t="s">
        <v>229</v>
      </c>
      <c r="E257" s="2" t="s">
        <v>2870</v>
      </c>
      <c r="F257" s="2" t="s">
        <v>3520</v>
      </c>
      <c r="G257" s="2">
        <v>29542341044</v>
      </c>
      <c r="H257" s="2" t="s">
        <v>642</v>
      </c>
      <c r="I257" s="2" t="s">
        <v>643</v>
      </c>
      <c r="J257" s="3">
        <v>41879</v>
      </c>
      <c r="K257" s="2" t="s">
        <v>158</v>
      </c>
      <c r="L257" s="2" t="s">
        <v>1655</v>
      </c>
      <c r="M257" s="2" t="s">
        <v>1484</v>
      </c>
      <c r="N257" s="2">
        <v>0</v>
      </c>
      <c r="O257" s="2">
        <v>0</v>
      </c>
      <c r="P257" s="2">
        <v>1</v>
      </c>
      <c r="Q257" s="2">
        <v>0</v>
      </c>
      <c r="R257" s="2">
        <v>0</v>
      </c>
      <c r="S257" s="2">
        <v>0</v>
      </c>
    </row>
    <row r="258" spans="1:19" ht="39" x14ac:dyDescent="0.25">
      <c r="A258" s="2">
        <v>15536002</v>
      </c>
      <c r="B258" s="2" t="s">
        <v>10</v>
      </c>
      <c r="C258" s="2" t="s">
        <v>32</v>
      </c>
      <c r="D258" s="2" t="s">
        <v>299</v>
      </c>
      <c r="E258" s="2" t="s">
        <v>2871</v>
      </c>
      <c r="F258" s="2" t="s">
        <v>3521</v>
      </c>
      <c r="G258" s="2">
        <v>15773389788</v>
      </c>
      <c r="H258" s="2" t="s">
        <v>644</v>
      </c>
      <c r="I258" s="2" t="s">
        <v>645</v>
      </c>
      <c r="J258" s="3">
        <v>42180</v>
      </c>
      <c r="K258" s="2" t="s">
        <v>14</v>
      </c>
      <c r="L258" s="2" t="s">
        <v>1568</v>
      </c>
      <c r="M258" s="2" t="s">
        <v>1484</v>
      </c>
      <c r="N258" s="2">
        <v>0</v>
      </c>
      <c r="O258" s="2">
        <v>0</v>
      </c>
      <c r="P258" s="2">
        <v>1</v>
      </c>
      <c r="Q258" s="2">
        <v>0</v>
      </c>
      <c r="R258" s="2">
        <v>0</v>
      </c>
      <c r="S258" s="2">
        <v>0</v>
      </c>
    </row>
    <row r="259" spans="1:19" ht="39" x14ac:dyDescent="0.25">
      <c r="A259" s="2">
        <v>15522022</v>
      </c>
      <c r="B259" s="2" t="s">
        <v>10</v>
      </c>
      <c r="C259" s="2" t="s">
        <v>3119</v>
      </c>
      <c r="D259" s="2" t="s">
        <v>449</v>
      </c>
      <c r="E259" s="2" t="s">
        <v>646</v>
      </c>
      <c r="F259" s="2" t="s">
        <v>3522</v>
      </c>
      <c r="G259" s="2">
        <v>18107515716</v>
      </c>
      <c r="H259" s="2" t="s">
        <v>647</v>
      </c>
      <c r="I259" s="2" t="s">
        <v>648</v>
      </c>
      <c r="J259" s="3">
        <v>42244</v>
      </c>
      <c r="K259" s="2" t="s">
        <v>14</v>
      </c>
      <c r="L259" s="2" t="s">
        <v>1656</v>
      </c>
      <c r="M259" s="2" t="s">
        <v>1484</v>
      </c>
      <c r="N259" s="2">
        <v>0</v>
      </c>
      <c r="O259" s="2">
        <v>0</v>
      </c>
      <c r="P259" s="2">
        <v>0</v>
      </c>
      <c r="Q259" s="2">
        <v>0</v>
      </c>
      <c r="R259" s="2">
        <v>1</v>
      </c>
      <c r="S259" s="2">
        <v>0</v>
      </c>
    </row>
    <row r="260" spans="1:19" ht="39" x14ac:dyDescent="0.25">
      <c r="A260" s="2">
        <v>14536006</v>
      </c>
      <c r="B260" s="2" t="s">
        <v>10</v>
      </c>
      <c r="C260" s="2" t="s">
        <v>32</v>
      </c>
      <c r="D260" s="2" t="s">
        <v>299</v>
      </c>
      <c r="E260" s="2" t="s">
        <v>2872</v>
      </c>
      <c r="F260" s="2" t="s">
        <v>3523</v>
      </c>
      <c r="G260" s="2">
        <v>37465604634</v>
      </c>
      <c r="H260" s="2" t="s">
        <v>649</v>
      </c>
      <c r="I260" s="2" t="s">
        <v>650</v>
      </c>
      <c r="J260" s="3">
        <v>41823</v>
      </c>
      <c r="K260" s="2" t="s">
        <v>14</v>
      </c>
      <c r="L260" s="2" t="s">
        <v>1657</v>
      </c>
      <c r="M260" s="2" t="s">
        <v>1484</v>
      </c>
      <c r="N260" s="2">
        <v>0</v>
      </c>
      <c r="O260" s="2">
        <v>0</v>
      </c>
      <c r="P260" s="2">
        <v>0</v>
      </c>
      <c r="Q260" s="2">
        <v>0</v>
      </c>
      <c r="R260" s="2">
        <v>1</v>
      </c>
      <c r="S260" s="2">
        <v>0</v>
      </c>
    </row>
    <row r="261" spans="1:19" ht="39" x14ac:dyDescent="0.25">
      <c r="A261" s="2">
        <v>10549007</v>
      </c>
      <c r="B261" s="2" t="s">
        <v>10</v>
      </c>
      <c r="C261" s="2" t="s">
        <v>3117</v>
      </c>
      <c r="D261" s="2" t="s">
        <v>11</v>
      </c>
      <c r="E261" s="2" t="s">
        <v>651</v>
      </c>
      <c r="F261" s="2" t="s">
        <v>3524</v>
      </c>
      <c r="G261" s="2">
        <v>10860081262</v>
      </c>
      <c r="H261" s="2" t="s">
        <v>652</v>
      </c>
      <c r="I261" s="2" t="s">
        <v>653</v>
      </c>
      <c r="J261" s="3">
        <v>40438</v>
      </c>
      <c r="K261" s="2" t="s">
        <v>14</v>
      </c>
      <c r="L261" s="2" t="s">
        <v>1658</v>
      </c>
      <c r="M261" s="2" t="s">
        <v>1486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ht="26.25" x14ac:dyDescent="0.25">
      <c r="A262" s="2">
        <v>15530006</v>
      </c>
      <c r="B262" s="2" t="s">
        <v>10</v>
      </c>
      <c r="C262" s="2" t="s">
        <v>32</v>
      </c>
      <c r="D262" s="2" t="s">
        <v>48</v>
      </c>
      <c r="E262" s="2" t="s">
        <v>654</v>
      </c>
      <c r="F262" s="2" t="s">
        <v>3525</v>
      </c>
      <c r="G262" s="2">
        <v>21931928690</v>
      </c>
      <c r="H262" s="2" t="s">
        <v>655</v>
      </c>
      <c r="I262" s="2" t="s">
        <v>656</v>
      </c>
      <c r="J262" s="3">
        <v>42185</v>
      </c>
      <c r="K262" s="2" t="s">
        <v>158</v>
      </c>
      <c r="L262" s="2" t="s">
        <v>1659</v>
      </c>
      <c r="M262" s="2" t="s">
        <v>1484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</row>
    <row r="263" spans="1:19" ht="26.25" x14ac:dyDescent="0.25">
      <c r="A263" s="2">
        <v>10549003</v>
      </c>
      <c r="B263" s="2" t="s">
        <v>10</v>
      </c>
      <c r="C263" s="2" t="s">
        <v>3117</v>
      </c>
      <c r="D263" s="2" t="s">
        <v>3133</v>
      </c>
      <c r="E263" s="2" t="s">
        <v>2873</v>
      </c>
      <c r="F263" s="2" t="s">
        <v>3526</v>
      </c>
      <c r="G263" s="2">
        <v>19499108630</v>
      </c>
      <c r="H263" s="2" t="s">
        <v>657</v>
      </c>
      <c r="I263" s="2" t="s">
        <v>658</v>
      </c>
      <c r="J263" s="3">
        <v>40438</v>
      </c>
      <c r="K263" s="2" t="s">
        <v>14</v>
      </c>
      <c r="L263" s="2" t="s">
        <v>1660</v>
      </c>
      <c r="M263" s="2" t="s">
        <v>1486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ht="26.25" x14ac:dyDescent="0.25">
      <c r="A264" s="2">
        <v>15518020</v>
      </c>
      <c r="B264" s="2" t="s">
        <v>10</v>
      </c>
      <c r="C264" s="2" t="s">
        <v>167</v>
      </c>
      <c r="D264" s="2" t="s">
        <v>593</v>
      </c>
      <c r="E264" s="2" t="s">
        <v>2874</v>
      </c>
      <c r="F264" s="2" t="s">
        <v>3527</v>
      </c>
      <c r="G264" s="2">
        <v>21890234986</v>
      </c>
      <c r="H264" s="2" t="s">
        <v>659</v>
      </c>
      <c r="I264" s="2" t="s">
        <v>660</v>
      </c>
      <c r="J264" s="3">
        <v>42390</v>
      </c>
      <c r="K264" s="2" t="s">
        <v>14</v>
      </c>
      <c r="L264" s="2" t="s">
        <v>1661</v>
      </c>
      <c r="M264" s="2" t="s">
        <v>1484</v>
      </c>
      <c r="N264" s="2">
        <v>0</v>
      </c>
      <c r="O264" s="2">
        <v>1</v>
      </c>
      <c r="P264" s="2">
        <v>0</v>
      </c>
      <c r="Q264" s="2">
        <v>0</v>
      </c>
      <c r="R264" s="2">
        <v>0</v>
      </c>
      <c r="S264" s="2">
        <v>0</v>
      </c>
    </row>
    <row r="265" spans="1:19" ht="39" x14ac:dyDescent="0.25">
      <c r="A265" s="2">
        <v>16533005</v>
      </c>
      <c r="B265" s="2" t="s">
        <v>10</v>
      </c>
      <c r="C265" s="2" t="s">
        <v>32</v>
      </c>
      <c r="D265" s="2" t="s">
        <v>132</v>
      </c>
      <c r="E265" s="2" t="s">
        <v>2875</v>
      </c>
      <c r="F265" s="2" t="s">
        <v>3528</v>
      </c>
      <c r="G265" s="2">
        <v>51484409780</v>
      </c>
      <c r="H265" s="2" t="s">
        <v>661</v>
      </c>
      <c r="I265" s="2" t="s">
        <v>662</v>
      </c>
      <c r="J265" s="3">
        <v>42585</v>
      </c>
      <c r="K265" s="2" t="s">
        <v>14</v>
      </c>
      <c r="L265" s="2" t="s">
        <v>3164</v>
      </c>
      <c r="M265" s="2" t="s">
        <v>1484</v>
      </c>
      <c r="N265" s="2">
        <v>0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</row>
    <row r="266" spans="1:19" ht="26.25" x14ac:dyDescent="0.25">
      <c r="A266" s="2">
        <v>16536005</v>
      </c>
      <c r="B266" s="2" t="s">
        <v>10</v>
      </c>
      <c r="C266" s="2" t="s">
        <v>32</v>
      </c>
      <c r="D266" s="2" t="s">
        <v>299</v>
      </c>
      <c r="E266" s="2" t="s">
        <v>663</v>
      </c>
      <c r="F266" s="2" t="s">
        <v>3529</v>
      </c>
      <c r="G266" s="2">
        <v>10213392540</v>
      </c>
      <c r="H266" s="2" t="s">
        <v>664</v>
      </c>
      <c r="I266" s="2" t="s">
        <v>665</v>
      </c>
      <c r="J266" s="3">
        <v>42584</v>
      </c>
      <c r="K266" s="2" t="s">
        <v>14</v>
      </c>
      <c r="L266" s="2" t="s">
        <v>1662</v>
      </c>
      <c r="M266" s="2" t="s">
        <v>1484</v>
      </c>
      <c r="N266" s="2">
        <v>0</v>
      </c>
      <c r="O266" s="2">
        <v>0</v>
      </c>
      <c r="P266" s="2">
        <v>1</v>
      </c>
      <c r="Q266" s="2">
        <v>0</v>
      </c>
      <c r="R266" s="2">
        <v>0</v>
      </c>
      <c r="S266" s="2">
        <v>0</v>
      </c>
    </row>
    <row r="267" spans="1:19" ht="39" x14ac:dyDescent="0.25">
      <c r="A267" s="2">
        <v>13536003</v>
      </c>
      <c r="B267" s="2" t="s">
        <v>10</v>
      </c>
      <c r="C267" s="2" t="s">
        <v>32</v>
      </c>
      <c r="D267" s="2" t="s">
        <v>299</v>
      </c>
      <c r="E267" s="2" t="s">
        <v>2876</v>
      </c>
      <c r="F267" s="2" t="s">
        <v>3530</v>
      </c>
      <c r="G267" s="2">
        <v>39664593498</v>
      </c>
      <c r="H267" s="2" t="s">
        <v>666</v>
      </c>
      <c r="I267" s="2" t="s">
        <v>667</v>
      </c>
      <c r="J267" s="3">
        <v>41459</v>
      </c>
      <c r="K267" s="2" t="s">
        <v>14</v>
      </c>
      <c r="L267" s="2" t="s">
        <v>1657</v>
      </c>
      <c r="M267" s="2" t="s">
        <v>1484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1</v>
      </c>
    </row>
    <row r="268" spans="1:19" ht="26.25" x14ac:dyDescent="0.25">
      <c r="A268" s="2">
        <v>14534018</v>
      </c>
      <c r="B268" s="2" t="s">
        <v>10</v>
      </c>
      <c r="C268" s="2" t="s">
        <v>32</v>
      </c>
      <c r="D268" s="2" t="s">
        <v>196</v>
      </c>
      <c r="E268" s="2" t="s">
        <v>668</v>
      </c>
      <c r="F268" s="2" t="s">
        <v>3531</v>
      </c>
      <c r="G268" s="2">
        <v>26830993572</v>
      </c>
      <c r="H268" s="2" t="s">
        <v>669</v>
      </c>
      <c r="I268" s="2" t="s">
        <v>670</v>
      </c>
      <c r="J268" s="3">
        <v>41879</v>
      </c>
      <c r="K268" s="2" t="s">
        <v>14</v>
      </c>
      <c r="L268" s="2" t="s">
        <v>1663</v>
      </c>
      <c r="M268" s="2" t="s">
        <v>1484</v>
      </c>
      <c r="N268" s="2">
        <v>0</v>
      </c>
      <c r="O268" s="2">
        <v>0</v>
      </c>
      <c r="P268" s="2">
        <v>1</v>
      </c>
      <c r="Q268" s="2">
        <v>0</v>
      </c>
      <c r="R268" s="2">
        <v>0</v>
      </c>
      <c r="S268" s="2">
        <v>0</v>
      </c>
    </row>
    <row r="269" spans="1:19" ht="39" x14ac:dyDescent="0.25">
      <c r="A269" s="2">
        <v>11534008</v>
      </c>
      <c r="B269" s="2" t="s">
        <v>10</v>
      </c>
      <c r="C269" s="2" t="s">
        <v>32</v>
      </c>
      <c r="D269" s="2" t="s">
        <v>196</v>
      </c>
      <c r="E269" s="2" t="s">
        <v>2877</v>
      </c>
      <c r="F269" s="2" t="s">
        <v>3532</v>
      </c>
      <c r="G269" s="2">
        <v>45832596338</v>
      </c>
      <c r="H269" s="2" t="s">
        <v>671</v>
      </c>
      <c r="I269" s="2" t="s">
        <v>672</v>
      </c>
      <c r="J269" s="3">
        <v>40806</v>
      </c>
      <c r="K269" s="2" t="s">
        <v>14</v>
      </c>
      <c r="L269" s="2" t="s">
        <v>3207</v>
      </c>
      <c r="M269" s="2" t="s">
        <v>1486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ht="39" x14ac:dyDescent="0.25">
      <c r="A270" s="2">
        <v>15550006</v>
      </c>
      <c r="B270" s="2" t="s">
        <v>10</v>
      </c>
      <c r="C270" s="2" t="s">
        <v>3120</v>
      </c>
      <c r="D270" s="2" t="s">
        <v>22</v>
      </c>
      <c r="E270" s="2" t="s">
        <v>673</v>
      </c>
      <c r="F270" s="2" t="s">
        <v>3533</v>
      </c>
      <c r="G270" s="2">
        <v>30295624124</v>
      </c>
      <c r="H270" s="2" t="s">
        <v>674</v>
      </c>
      <c r="I270" s="2" t="s">
        <v>675</v>
      </c>
      <c r="J270" s="3">
        <v>42186</v>
      </c>
      <c r="K270" s="2" t="s">
        <v>14</v>
      </c>
      <c r="L270" s="2" t="s">
        <v>1664</v>
      </c>
      <c r="M270" s="2" t="s">
        <v>1484</v>
      </c>
      <c r="N270" s="2">
        <v>0</v>
      </c>
      <c r="O270" s="2">
        <v>0</v>
      </c>
      <c r="P270" s="2">
        <v>1</v>
      </c>
      <c r="Q270" s="2">
        <v>0</v>
      </c>
      <c r="R270" s="2">
        <v>0</v>
      </c>
      <c r="S270" s="2">
        <v>0</v>
      </c>
    </row>
    <row r="271" spans="1:19" ht="26.25" x14ac:dyDescent="0.25">
      <c r="A271" s="2">
        <v>11535008</v>
      </c>
      <c r="B271" s="2" t="s">
        <v>10</v>
      </c>
      <c r="C271" s="2" t="s">
        <v>32</v>
      </c>
      <c r="D271" s="2" t="s">
        <v>45</v>
      </c>
      <c r="E271" s="2" t="s">
        <v>2878</v>
      </c>
      <c r="F271" s="2" t="s">
        <v>3534</v>
      </c>
      <c r="G271" s="2">
        <v>33355125524</v>
      </c>
      <c r="H271" s="2" t="s">
        <v>676</v>
      </c>
      <c r="I271" s="2" t="s">
        <v>677</v>
      </c>
      <c r="J271" s="3">
        <v>40806</v>
      </c>
      <c r="K271" s="2" t="s">
        <v>14</v>
      </c>
      <c r="L271" s="2" t="s">
        <v>1593</v>
      </c>
      <c r="M271" s="2" t="s">
        <v>1486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ht="39" x14ac:dyDescent="0.25">
      <c r="A272" s="2">
        <v>16552004</v>
      </c>
      <c r="B272" s="2" t="s">
        <v>10</v>
      </c>
      <c r="C272" s="2" t="s">
        <v>3119</v>
      </c>
      <c r="D272" s="2" t="s">
        <v>19</v>
      </c>
      <c r="E272" s="2" t="s">
        <v>678</v>
      </c>
      <c r="F272" s="2" t="s">
        <v>3535</v>
      </c>
      <c r="G272" s="2">
        <v>14533334624</v>
      </c>
      <c r="H272" s="2" t="s">
        <v>679</v>
      </c>
      <c r="I272" s="2" t="s">
        <v>680</v>
      </c>
      <c r="J272" s="3">
        <v>42584</v>
      </c>
      <c r="K272" s="2" t="s">
        <v>14</v>
      </c>
      <c r="L272" s="2" t="s">
        <v>1665</v>
      </c>
      <c r="M272" s="2" t="s">
        <v>1484</v>
      </c>
      <c r="N272" s="2">
        <v>0</v>
      </c>
      <c r="O272" s="2">
        <v>0</v>
      </c>
      <c r="P272" s="2">
        <v>0</v>
      </c>
      <c r="Q272" s="2">
        <v>0</v>
      </c>
      <c r="R272" s="2">
        <v>1</v>
      </c>
      <c r="S272" s="2">
        <v>0</v>
      </c>
    </row>
    <row r="273" spans="1:19" ht="39" x14ac:dyDescent="0.25">
      <c r="A273" s="2">
        <v>15536020</v>
      </c>
      <c r="B273" s="2" t="s">
        <v>10</v>
      </c>
      <c r="C273" s="2" t="s">
        <v>32</v>
      </c>
      <c r="D273" s="2" t="s">
        <v>299</v>
      </c>
      <c r="E273" s="2" t="s">
        <v>2879</v>
      </c>
      <c r="F273" s="2" t="s">
        <v>3536</v>
      </c>
      <c r="G273" s="2">
        <v>22240548456</v>
      </c>
      <c r="H273" s="2" t="s">
        <v>681</v>
      </c>
      <c r="I273" s="2" t="s">
        <v>682</v>
      </c>
      <c r="J273" s="3">
        <v>42187</v>
      </c>
      <c r="K273" s="2" t="s">
        <v>14</v>
      </c>
      <c r="L273" s="2" t="s">
        <v>1666</v>
      </c>
      <c r="M273" s="2" t="s">
        <v>1484</v>
      </c>
      <c r="N273" s="2">
        <v>0</v>
      </c>
      <c r="O273" s="2">
        <v>0</v>
      </c>
      <c r="P273" s="2">
        <v>0</v>
      </c>
      <c r="Q273" s="2">
        <v>1</v>
      </c>
      <c r="R273" s="2">
        <v>0</v>
      </c>
      <c r="S273" s="2">
        <v>0</v>
      </c>
    </row>
    <row r="274" spans="1:19" ht="51.75" x14ac:dyDescent="0.25">
      <c r="A274" s="2">
        <v>16534010</v>
      </c>
      <c r="B274" s="2" t="s">
        <v>10</v>
      </c>
      <c r="C274" s="2" t="s">
        <v>32</v>
      </c>
      <c r="D274" s="2" t="s">
        <v>196</v>
      </c>
      <c r="E274" s="2" t="s">
        <v>2880</v>
      </c>
      <c r="F274" s="2" t="s">
        <v>3537</v>
      </c>
      <c r="G274" s="2">
        <v>43117952428</v>
      </c>
      <c r="H274" s="2" t="s">
        <v>683</v>
      </c>
      <c r="I274" s="2" t="s">
        <v>684</v>
      </c>
      <c r="J274" s="3">
        <v>42586</v>
      </c>
      <c r="K274" s="2" t="s">
        <v>14</v>
      </c>
      <c r="L274" s="2" t="s">
        <v>1667</v>
      </c>
      <c r="M274" s="2" t="s">
        <v>1484</v>
      </c>
      <c r="N274" s="2">
        <v>0</v>
      </c>
      <c r="O274" s="2">
        <v>0</v>
      </c>
      <c r="P274" s="2">
        <v>1</v>
      </c>
      <c r="Q274" s="2">
        <v>0</v>
      </c>
      <c r="R274" s="2">
        <v>0</v>
      </c>
      <c r="S274" s="2">
        <v>0</v>
      </c>
    </row>
    <row r="275" spans="1:19" ht="26.25" x14ac:dyDescent="0.25">
      <c r="A275" s="2">
        <v>13533025</v>
      </c>
      <c r="B275" s="2" t="s">
        <v>10</v>
      </c>
      <c r="C275" s="2" t="s">
        <v>32</v>
      </c>
      <c r="D275" s="2" t="s">
        <v>132</v>
      </c>
      <c r="E275" s="2" t="s">
        <v>685</v>
      </c>
      <c r="F275" s="2" t="s">
        <v>3538</v>
      </c>
      <c r="G275" s="2">
        <v>12472144588</v>
      </c>
      <c r="H275" s="2" t="s">
        <v>686</v>
      </c>
      <c r="I275" s="2" t="s">
        <v>687</v>
      </c>
      <c r="J275" s="3">
        <v>41682</v>
      </c>
      <c r="K275" s="2" t="s">
        <v>14</v>
      </c>
      <c r="L275" s="2" t="s">
        <v>1668</v>
      </c>
      <c r="M275" s="2" t="s">
        <v>1484</v>
      </c>
      <c r="N275" s="2">
        <v>0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</row>
    <row r="276" spans="1:19" ht="39" x14ac:dyDescent="0.25">
      <c r="A276" s="2">
        <v>14534011</v>
      </c>
      <c r="B276" s="2" t="s">
        <v>10</v>
      </c>
      <c r="C276" s="2" t="s">
        <v>32</v>
      </c>
      <c r="D276" s="2" t="s">
        <v>196</v>
      </c>
      <c r="E276" s="2" t="s">
        <v>2881</v>
      </c>
      <c r="F276" s="2" t="s">
        <v>3539</v>
      </c>
      <c r="G276" s="2">
        <v>34654848732</v>
      </c>
      <c r="H276" s="2" t="s">
        <v>688</v>
      </c>
      <c r="I276" s="2" t="s">
        <v>689</v>
      </c>
      <c r="J276" s="3">
        <v>41823</v>
      </c>
      <c r="K276" s="2" t="s">
        <v>14</v>
      </c>
      <c r="L276" s="2" t="s">
        <v>3208</v>
      </c>
      <c r="M276" s="2" t="s">
        <v>1484</v>
      </c>
      <c r="N276" s="2">
        <v>0</v>
      </c>
      <c r="O276" s="2">
        <v>0</v>
      </c>
      <c r="P276" s="2">
        <v>0</v>
      </c>
      <c r="Q276" s="2">
        <v>0</v>
      </c>
      <c r="R276" s="2">
        <v>1</v>
      </c>
      <c r="S276" s="2">
        <v>0</v>
      </c>
    </row>
    <row r="277" spans="1:19" ht="26.25" x14ac:dyDescent="0.25">
      <c r="A277" s="2">
        <v>15509014</v>
      </c>
      <c r="B277" s="2" t="s">
        <v>10</v>
      </c>
      <c r="C277" s="2" t="s">
        <v>3128</v>
      </c>
      <c r="D277" s="2" t="s">
        <v>468</v>
      </c>
      <c r="E277" s="2" t="s">
        <v>2882</v>
      </c>
      <c r="F277" s="2" t="s">
        <v>3540</v>
      </c>
      <c r="G277" s="2">
        <v>17389466464</v>
      </c>
      <c r="H277" s="2" t="s">
        <v>690</v>
      </c>
      <c r="I277" s="2" t="s">
        <v>691</v>
      </c>
      <c r="J277" s="3">
        <v>42244</v>
      </c>
      <c r="K277" s="2" t="s">
        <v>14</v>
      </c>
      <c r="L277" s="2" t="s">
        <v>3209</v>
      </c>
      <c r="M277" s="2" t="s">
        <v>1484</v>
      </c>
      <c r="N277" s="2">
        <v>0</v>
      </c>
      <c r="O277" s="2">
        <v>0</v>
      </c>
      <c r="P277" s="2">
        <v>1</v>
      </c>
      <c r="Q277" s="2">
        <v>0</v>
      </c>
      <c r="R277" s="2">
        <v>0</v>
      </c>
      <c r="S277" s="2">
        <v>0</v>
      </c>
    </row>
    <row r="278" spans="1:19" ht="26.25" x14ac:dyDescent="0.25">
      <c r="A278" s="2">
        <v>12549010</v>
      </c>
      <c r="B278" s="2" t="s">
        <v>10</v>
      </c>
      <c r="C278" s="2" t="s">
        <v>3117</v>
      </c>
      <c r="D278" s="2" t="s">
        <v>11</v>
      </c>
      <c r="E278" s="2" t="s">
        <v>2883</v>
      </c>
      <c r="F278" s="2" t="s">
        <v>3541</v>
      </c>
      <c r="G278" s="2">
        <v>16109095304</v>
      </c>
      <c r="H278" s="2" t="s">
        <v>692</v>
      </c>
      <c r="I278" s="2" t="s">
        <v>693</v>
      </c>
      <c r="J278" s="3">
        <v>41163</v>
      </c>
      <c r="K278" s="2" t="s">
        <v>14</v>
      </c>
      <c r="L278" s="2" t="s">
        <v>1669</v>
      </c>
      <c r="M278" s="2" t="s">
        <v>1486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ht="26.25" x14ac:dyDescent="0.25">
      <c r="A279" s="2">
        <v>16542012</v>
      </c>
      <c r="B279" s="2" t="s">
        <v>10</v>
      </c>
      <c r="C279" s="2" t="s">
        <v>185</v>
      </c>
      <c r="D279" s="2" t="s">
        <v>185</v>
      </c>
      <c r="E279" s="2" t="s">
        <v>2884</v>
      </c>
      <c r="F279" s="2" t="s">
        <v>3542</v>
      </c>
      <c r="G279" s="2">
        <v>50806015982</v>
      </c>
      <c r="H279" s="2" t="s">
        <v>694</v>
      </c>
      <c r="I279" s="2" t="s">
        <v>695</v>
      </c>
      <c r="J279" s="3">
        <v>42584</v>
      </c>
      <c r="K279" s="2" t="s">
        <v>14</v>
      </c>
      <c r="L279" s="2" t="s">
        <v>3210</v>
      </c>
      <c r="M279" s="2" t="s">
        <v>1484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</row>
    <row r="280" spans="1:19" ht="26.25" x14ac:dyDescent="0.25">
      <c r="A280" s="2">
        <v>13523008</v>
      </c>
      <c r="B280" s="2" t="s">
        <v>10</v>
      </c>
      <c r="C280" s="2" t="s">
        <v>3119</v>
      </c>
      <c r="D280" s="2" t="s">
        <v>129</v>
      </c>
      <c r="E280" s="2" t="s">
        <v>2885</v>
      </c>
      <c r="F280" s="2" t="s">
        <v>3543</v>
      </c>
      <c r="G280" s="2">
        <v>28054611232</v>
      </c>
      <c r="H280" s="2" t="s">
        <v>696</v>
      </c>
      <c r="I280" s="2" t="s">
        <v>697</v>
      </c>
      <c r="J280" s="3">
        <v>41465</v>
      </c>
      <c r="K280" s="2" t="s">
        <v>14</v>
      </c>
      <c r="L280" s="2" t="s">
        <v>1533</v>
      </c>
      <c r="M280" s="2" t="s">
        <v>1484</v>
      </c>
      <c r="N280" s="2">
        <v>0</v>
      </c>
      <c r="O280" s="2">
        <v>0</v>
      </c>
      <c r="P280" s="2">
        <v>0</v>
      </c>
      <c r="Q280" s="2">
        <v>1</v>
      </c>
      <c r="R280" s="2">
        <v>0</v>
      </c>
      <c r="S280" s="2">
        <v>0</v>
      </c>
    </row>
    <row r="281" spans="1:19" ht="26.25" x14ac:dyDescent="0.25">
      <c r="A281" s="2">
        <v>15568013</v>
      </c>
      <c r="B281" s="2" t="s">
        <v>10</v>
      </c>
      <c r="C281" s="2" t="s">
        <v>3125</v>
      </c>
      <c r="D281" s="2" t="s">
        <v>3125</v>
      </c>
      <c r="E281" s="2" t="s">
        <v>2886</v>
      </c>
      <c r="F281" s="2" t="s">
        <v>3544</v>
      </c>
      <c r="G281" s="2">
        <v>24638571152</v>
      </c>
      <c r="H281" s="2" t="s">
        <v>698</v>
      </c>
      <c r="I281" s="2" t="s">
        <v>699</v>
      </c>
      <c r="J281" s="3">
        <v>42191</v>
      </c>
      <c r="K281" s="2" t="s">
        <v>14</v>
      </c>
      <c r="L281" s="2" t="s">
        <v>1670</v>
      </c>
      <c r="M281" s="2" t="s">
        <v>1484</v>
      </c>
      <c r="N281" s="2">
        <v>0</v>
      </c>
      <c r="O281" s="2">
        <v>0</v>
      </c>
      <c r="P281" s="2">
        <v>0</v>
      </c>
      <c r="Q281" s="2">
        <v>0</v>
      </c>
      <c r="R281" s="2">
        <v>1</v>
      </c>
      <c r="S281" s="2">
        <v>0</v>
      </c>
    </row>
    <row r="282" spans="1:19" ht="26.25" x14ac:dyDescent="0.25">
      <c r="A282" s="2">
        <v>15509005</v>
      </c>
      <c r="B282" s="2" t="s">
        <v>10</v>
      </c>
      <c r="C282" s="2" t="s">
        <v>3128</v>
      </c>
      <c r="D282" s="2" t="s">
        <v>468</v>
      </c>
      <c r="E282" s="2" t="s">
        <v>700</v>
      </c>
      <c r="F282" s="2" t="s">
        <v>3545</v>
      </c>
      <c r="G282" s="2">
        <v>51772162786</v>
      </c>
      <c r="H282" s="2" t="s">
        <v>701</v>
      </c>
      <c r="I282" s="2" t="s">
        <v>702</v>
      </c>
      <c r="J282" s="3">
        <v>42180</v>
      </c>
      <c r="K282" s="2" t="s">
        <v>14</v>
      </c>
      <c r="L282" s="2" t="s">
        <v>1671</v>
      </c>
      <c r="M282" s="2" t="s">
        <v>1484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0</v>
      </c>
    </row>
    <row r="283" spans="1:19" ht="26.25" x14ac:dyDescent="0.25">
      <c r="A283" s="2">
        <v>16567015</v>
      </c>
      <c r="B283" s="2" t="s">
        <v>10</v>
      </c>
      <c r="C283" s="2" t="s">
        <v>3121</v>
      </c>
      <c r="D283" s="2" t="s">
        <v>3121</v>
      </c>
      <c r="E283" s="2" t="s">
        <v>703</v>
      </c>
      <c r="F283" s="2" t="s">
        <v>3546</v>
      </c>
      <c r="G283" s="2">
        <v>99980549104</v>
      </c>
      <c r="H283" s="2" t="s">
        <v>704</v>
      </c>
      <c r="I283" s="2" t="s">
        <v>705</v>
      </c>
      <c r="J283" s="3">
        <v>42731</v>
      </c>
      <c r="K283" s="2" t="s">
        <v>14</v>
      </c>
      <c r="L283" s="2" t="s">
        <v>1672</v>
      </c>
      <c r="M283" s="2" t="s">
        <v>1484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</row>
    <row r="284" spans="1:19" ht="26.25" x14ac:dyDescent="0.25">
      <c r="A284" s="2">
        <v>12529006</v>
      </c>
      <c r="B284" s="2" t="s">
        <v>10</v>
      </c>
      <c r="C284" s="2" t="s">
        <v>32</v>
      </c>
      <c r="D284" s="2" t="s">
        <v>141</v>
      </c>
      <c r="E284" s="2" t="s">
        <v>2887</v>
      </c>
      <c r="F284" s="2" t="s">
        <v>3547</v>
      </c>
      <c r="G284" s="2">
        <v>26161327626</v>
      </c>
      <c r="H284" s="2" t="s">
        <v>706</v>
      </c>
      <c r="I284" s="2" t="s">
        <v>707</v>
      </c>
      <c r="J284" s="3">
        <v>41163</v>
      </c>
      <c r="K284" s="2" t="s">
        <v>14</v>
      </c>
      <c r="L284" s="2" t="s">
        <v>1648</v>
      </c>
      <c r="M284" s="2" t="s">
        <v>1486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ht="26.25" x14ac:dyDescent="0.25">
      <c r="A285" s="2">
        <v>16524002</v>
      </c>
      <c r="B285" s="2" t="s">
        <v>10</v>
      </c>
      <c r="C285" s="2" t="s">
        <v>3119</v>
      </c>
      <c r="D285" s="2" t="s">
        <v>90</v>
      </c>
      <c r="E285" s="2" t="s">
        <v>708</v>
      </c>
      <c r="F285" s="2" t="s">
        <v>3548</v>
      </c>
      <c r="G285" s="2">
        <v>22361516174</v>
      </c>
      <c r="H285" s="2" t="s">
        <v>709</v>
      </c>
      <c r="I285" s="2" t="s">
        <v>710</v>
      </c>
      <c r="J285" s="3">
        <v>42583</v>
      </c>
      <c r="K285" s="2" t="s">
        <v>14</v>
      </c>
      <c r="L285" s="2" t="s">
        <v>3211</v>
      </c>
      <c r="M285" s="2" t="s">
        <v>1484</v>
      </c>
      <c r="N285" s="2">
        <v>0</v>
      </c>
      <c r="O285" s="2">
        <v>0</v>
      </c>
      <c r="P285" s="2">
        <v>0</v>
      </c>
      <c r="Q285" s="2">
        <v>0</v>
      </c>
      <c r="R285" s="2">
        <v>1</v>
      </c>
      <c r="S285" s="2">
        <v>0</v>
      </c>
    </row>
    <row r="286" spans="1:19" ht="26.25" x14ac:dyDescent="0.25">
      <c r="A286" s="2">
        <v>14558007</v>
      </c>
      <c r="B286" s="2" t="s">
        <v>10</v>
      </c>
      <c r="C286" s="2" t="s">
        <v>209</v>
      </c>
      <c r="D286" s="2" t="s">
        <v>281</v>
      </c>
      <c r="E286" s="2" t="s">
        <v>711</v>
      </c>
      <c r="F286" s="2" t="s">
        <v>3549</v>
      </c>
      <c r="G286" s="2">
        <v>28990024318</v>
      </c>
      <c r="H286" s="2" t="s">
        <v>712</v>
      </c>
      <c r="I286" s="2" t="s">
        <v>713</v>
      </c>
      <c r="J286" s="3">
        <v>42012</v>
      </c>
      <c r="K286" s="2" t="s">
        <v>14</v>
      </c>
      <c r="L286" s="2" t="s">
        <v>1598</v>
      </c>
      <c r="M286" s="2" t="s">
        <v>1484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1</v>
      </c>
    </row>
    <row r="287" spans="1:19" ht="39" x14ac:dyDescent="0.25">
      <c r="A287" s="2">
        <v>8532109</v>
      </c>
      <c r="B287" s="2" t="s">
        <v>10</v>
      </c>
      <c r="C287" s="2" t="s">
        <v>32</v>
      </c>
      <c r="D287" s="2" t="s">
        <v>33</v>
      </c>
      <c r="E287" s="2" t="s">
        <v>714</v>
      </c>
      <c r="F287" s="2" t="s">
        <v>3550</v>
      </c>
      <c r="G287" s="2">
        <v>21004345560</v>
      </c>
      <c r="H287" s="2" t="s">
        <v>715</v>
      </c>
      <c r="I287" s="2" t="s">
        <v>716</v>
      </c>
      <c r="J287" s="3">
        <v>39848</v>
      </c>
      <c r="K287" s="2" t="s">
        <v>14</v>
      </c>
      <c r="L287" s="2" t="s">
        <v>1673</v>
      </c>
      <c r="M287" s="2" t="s">
        <v>1486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ht="39" x14ac:dyDescent="0.25">
      <c r="A288" s="2">
        <v>16535014</v>
      </c>
      <c r="B288" s="2" t="s">
        <v>10</v>
      </c>
      <c r="C288" s="2" t="s">
        <v>32</v>
      </c>
      <c r="D288" s="2" t="s">
        <v>45</v>
      </c>
      <c r="E288" s="2" t="s">
        <v>2888</v>
      </c>
      <c r="F288" s="2" t="s">
        <v>3551</v>
      </c>
      <c r="G288" s="2">
        <v>51172023540</v>
      </c>
      <c r="H288" s="2" t="s">
        <v>717</v>
      </c>
      <c r="I288" s="2" t="s">
        <v>718</v>
      </c>
      <c r="J288" s="3">
        <v>42587</v>
      </c>
      <c r="K288" s="2" t="s">
        <v>14</v>
      </c>
      <c r="L288" s="2" t="s">
        <v>1674</v>
      </c>
      <c r="M288" s="2" t="s">
        <v>1484</v>
      </c>
      <c r="N288" s="2">
        <v>0</v>
      </c>
      <c r="O288" s="2">
        <v>0</v>
      </c>
      <c r="P288" s="2">
        <v>1</v>
      </c>
      <c r="Q288" s="2">
        <v>0</v>
      </c>
      <c r="R288" s="2">
        <v>0</v>
      </c>
      <c r="S288" s="2">
        <v>0</v>
      </c>
    </row>
    <row r="289" spans="1:19" ht="26.25" x14ac:dyDescent="0.25">
      <c r="A289" s="2">
        <v>16529004</v>
      </c>
      <c r="B289" s="2" t="s">
        <v>10</v>
      </c>
      <c r="C289" s="2" t="s">
        <v>32</v>
      </c>
      <c r="D289" s="2" t="s">
        <v>141</v>
      </c>
      <c r="E289" s="2" t="s">
        <v>2889</v>
      </c>
      <c r="F289" s="2" t="s">
        <v>3552</v>
      </c>
      <c r="G289" s="2">
        <v>28009708598</v>
      </c>
      <c r="H289" s="2" t="s">
        <v>719</v>
      </c>
      <c r="I289" s="2" t="s">
        <v>720</v>
      </c>
      <c r="J289" s="3">
        <v>42583</v>
      </c>
      <c r="K289" s="2" t="s">
        <v>14</v>
      </c>
      <c r="L289" s="2" t="s">
        <v>3212</v>
      </c>
      <c r="M289" s="2" t="s">
        <v>1484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 s="2">
        <v>0</v>
      </c>
    </row>
    <row r="290" spans="1:19" ht="26.25" x14ac:dyDescent="0.25">
      <c r="A290" s="2">
        <v>14533025</v>
      </c>
      <c r="B290" s="2" t="s">
        <v>10</v>
      </c>
      <c r="C290" s="2" t="s">
        <v>32</v>
      </c>
      <c r="D290" s="2" t="s">
        <v>132</v>
      </c>
      <c r="E290" s="2" t="s">
        <v>2890</v>
      </c>
      <c r="F290" s="2" t="s">
        <v>3553</v>
      </c>
      <c r="G290" s="2">
        <v>34726384670</v>
      </c>
      <c r="H290" s="2" t="s">
        <v>721</v>
      </c>
      <c r="I290" s="2" t="s">
        <v>722</v>
      </c>
      <c r="J290" s="3">
        <v>42016</v>
      </c>
      <c r="K290" s="2" t="s">
        <v>14</v>
      </c>
      <c r="L290" s="2" t="s">
        <v>1540</v>
      </c>
      <c r="M290" s="2" t="s">
        <v>1484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</v>
      </c>
    </row>
    <row r="291" spans="1:19" ht="26.25" x14ac:dyDescent="0.25">
      <c r="A291" s="2">
        <v>16533014</v>
      </c>
      <c r="B291" s="2" t="s">
        <v>10</v>
      </c>
      <c r="C291" s="2" t="s">
        <v>32</v>
      </c>
      <c r="D291" s="2" t="s">
        <v>132</v>
      </c>
      <c r="E291" s="2" t="s">
        <v>723</v>
      </c>
      <c r="F291" s="2" t="s">
        <v>3554</v>
      </c>
      <c r="G291" s="2">
        <v>51706112306</v>
      </c>
      <c r="H291" s="2" t="s">
        <v>724</v>
      </c>
      <c r="I291" s="2" t="s">
        <v>725</v>
      </c>
      <c r="J291" s="3">
        <v>42614</v>
      </c>
      <c r="K291" s="2" t="s">
        <v>14</v>
      </c>
      <c r="L291" s="2" t="s">
        <v>1517</v>
      </c>
      <c r="M291" s="2" t="s">
        <v>1484</v>
      </c>
      <c r="N291" s="2">
        <v>0</v>
      </c>
      <c r="O291" s="2">
        <v>0</v>
      </c>
      <c r="P291" s="2">
        <v>1</v>
      </c>
      <c r="Q291" s="2">
        <v>0</v>
      </c>
      <c r="R291" s="2">
        <v>0</v>
      </c>
      <c r="S291" s="2">
        <v>0</v>
      </c>
    </row>
    <row r="292" spans="1:19" ht="26.25" x14ac:dyDescent="0.25">
      <c r="A292" s="2">
        <v>14504043</v>
      </c>
      <c r="B292" s="2" t="s">
        <v>10</v>
      </c>
      <c r="C292" s="2" t="s">
        <v>3123</v>
      </c>
      <c r="D292" s="2" t="s">
        <v>52</v>
      </c>
      <c r="E292" s="2" t="s">
        <v>726</v>
      </c>
      <c r="F292" s="2" t="s">
        <v>3555</v>
      </c>
      <c r="G292" s="2">
        <v>35653721316</v>
      </c>
      <c r="H292" s="2" t="s">
        <v>727</v>
      </c>
      <c r="I292" s="2" t="s">
        <v>728</v>
      </c>
      <c r="J292" s="3">
        <v>42041</v>
      </c>
      <c r="K292" s="2" t="s">
        <v>14</v>
      </c>
      <c r="L292" s="2" t="s">
        <v>3177</v>
      </c>
      <c r="M292" s="2" t="s">
        <v>1484</v>
      </c>
      <c r="N292" s="2">
        <v>0</v>
      </c>
      <c r="O292" s="2">
        <v>0</v>
      </c>
      <c r="P292" s="2">
        <v>0</v>
      </c>
      <c r="Q292" s="2">
        <v>1</v>
      </c>
      <c r="R292" s="2">
        <v>0</v>
      </c>
      <c r="S292" s="2">
        <v>0</v>
      </c>
    </row>
    <row r="293" spans="1:19" ht="26.25" x14ac:dyDescent="0.25">
      <c r="A293" s="2">
        <v>14534016</v>
      </c>
      <c r="B293" s="2" t="s">
        <v>10</v>
      </c>
      <c r="C293" s="2" t="s">
        <v>32</v>
      </c>
      <c r="D293" s="2" t="s">
        <v>196</v>
      </c>
      <c r="E293" s="2" t="s">
        <v>2891</v>
      </c>
      <c r="F293" s="2" t="s">
        <v>3556</v>
      </c>
      <c r="G293" s="2">
        <v>56428361926</v>
      </c>
      <c r="H293" s="2" t="s">
        <v>729</v>
      </c>
      <c r="I293" s="2" t="s">
        <v>730</v>
      </c>
      <c r="J293" s="3">
        <v>41859</v>
      </c>
      <c r="K293" s="2" t="s">
        <v>14</v>
      </c>
      <c r="L293" s="2" t="s">
        <v>1675</v>
      </c>
      <c r="M293" s="2" t="s">
        <v>1484</v>
      </c>
      <c r="N293" s="2">
        <v>0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</row>
    <row r="294" spans="1:19" ht="51.75" x14ac:dyDescent="0.25">
      <c r="A294" s="2">
        <v>10532011</v>
      </c>
      <c r="B294" s="2" t="s">
        <v>10</v>
      </c>
      <c r="C294" s="2" t="s">
        <v>32</v>
      </c>
      <c r="D294" s="2" t="s">
        <v>33</v>
      </c>
      <c r="E294" s="2" t="s">
        <v>2892</v>
      </c>
      <c r="F294" s="2" t="s">
        <v>3557</v>
      </c>
      <c r="G294" s="2">
        <v>16469454650</v>
      </c>
      <c r="H294" s="2" t="s">
        <v>731</v>
      </c>
      <c r="I294" s="2" t="s">
        <v>732</v>
      </c>
      <c r="J294" s="3">
        <v>40444</v>
      </c>
      <c r="K294" s="2" t="s">
        <v>14</v>
      </c>
      <c r="L294" s="2" t="s">
        <v>1574</v>
      </c>
      <c r="M294" s="2" t="s">
        <v>1486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ht="64.5" x14ac:dyDescent="0.25">
      <c r="A295" s="2">
        <v>16554034</v>
      </c>
      <c r="B295" s="2" t="s">
        <v>10</v>
      </c>
      <c r="C295" s="2" t="s">
        <v>25</v>
      </c>
      <c r="D295" s="2" t="s">
        <v>25</v>
      </c>
      <c r="E295" s="2" t="s">
        <v>2893</v>
      </c>
      <c r="F295" s="2" t="s">
        <v>3558</v>
      </c>
      <c r="G295" s="2">
        <v>49468262360</v>
      </c>
      <c r="H295" s="2" t="s">
        <v>733</v>
      </c>
      <c r="I295" s="2" t="s">
        <v>734</v>
      </c>
      <c r="J295" s="3">
        <v>42758</v>
      </c>
      <c r="K295" s="2" t="s">
        <v>14</v>
      </c>
      <c r="L295" s="2" t="s">
        <v>1676</v>
      </c>
      <c r="M295" s="2" t="s">
        <v>1484</v>
      </c>
      <c r="N295" s="2">
        <v>0</v>
      </c>
      <c r="O295" s="2">
        <v>0</v>
      </c>
      <c r="P295" s="2">
        <v>1</v>
      </c>
      <c r="Q295" s="2">
        <v>0</v>
      </c>
      <c r="R295" s="2">
        <v>0</v>
      </c>
      <c r="S295" s="2">
        <v>0</v>
      </c>
    </row>
    <row r="296" spans="1:19" ht="51.75" x14ac:dyDescent="0.25">
      <c r="A296" s="2">
        <v>16506005</v>
      </c>
      <c r="B296" s="2" t="s">
        <v>10</v>
      </c>
      <c r="C296" s="2" t="s">
        <v>3122</v>
      </c>
      <c r="D296" s="2" t="s">
        <v>3122</v>
      </c>
      <c r="E296" s="2" t="s">
        <v>2894</v>
      </c>
      <c r="F296" s="2" t="s">
        <v>3559</v>
      </c>
      <c r="G296" s="2">
        <v>53215352242</v>
      </c>
      <c r="H296" s="2" t="s">
        <v>735</v>
      </c>
      <c r="I296" s="2" t="s">
        <v>736</v>
      </c>
      <c r="J296" s="3">
        <v>42584</v>
      </c>
      <c r="K296" s="2" t="s">
        <v>14</v>
      </c>
      <c r="L296" s="2" t="s">
        <v>1677</v>
      </c>
      <c r="M296" s="2" t="s">
        <v>1484</v>
      </c>
      <c r="N296" s="2">
        <v>0</v>
      </c>
      <c r="O296" s="2">
        <v>0</v>
      </c>
      <c r="P296" s="2">
        <v>0</v>
      </c>
      <c r="Q296" s="2">
        <v>0</v>
      </c>
      <c r="R296" s="2">
        <v>1</v>
      </c>
      <c r="S296" s="2">
        <v>0</v>
      </c>
    </row>
    <row r="297" spans="1:19" ht="39" x14ac:dyDescent="0.25">
      <c r="A297" s="2">
        <v>14534009</v>
      </c>
      <c r="B297" s="2" t="s">
        <v>10</v>
      </c>
      <c r="C297" s="2" t="s">
        <v>32</v>
      </c>
      <c r="D297" s="2" t="s">
        <v>196</v>
      </c>
      <c r="E297" s="2" t="s">
        <v>2895</v>
      </c>
      <c r="F297" s="2" t="s">
        <v>3560</v>
      </c>
      <c r="G297" s="2">
        <v>45523532188</v>
      </c>
      <c r="H297" s="2" t="s">
        <v>737</v>
      </c>
      <c r="I297" s="2" t="s">
        <v>738</v>
      </c>
      <c r="J297" s="3">
        <v>41823</v>
      </c>
      <c r="K297" s="2" t="s">
        <v>14</v>
      </c>
      <c r="L297" s="2" t="s">
        <v>1678</v>
      </c>
      <c r="M297" s="2" t="s">
        <v>1484</v>
      </c>
      <c r="N297" s="2">
        <v>0</v>
      </c>
      <c r="O297" s="2">
        <v>0</v>
      </c>
      <c r="P297" s="2">
        <v>0</v>
      </c>
      <c r="Q297" s="2">
        <v>1</v>
      </c>
      <c r="R297" s="2">
        <v>0</v>
      </c>
      <c r="S297" s="2">
        <v>0</v>
      </c>
    </row>
    <row r="298" spans="1:19" ht="26.25" x14ac:dyDescent="0.25">
      <c r="A298" s="2">
        <v>14520050</v>
      </c>
      <c r="B298" s="2" t="s">
        <v>10</v>
      </c>
      <c r="C298" s="2" t="s">
        <v>3118</v>
      </c>
      <c r="D298" s="2" t="s">
        <v>3118</v>
      </c>
      <c r="E298" s="2" t="s">
        <v>739</v>
      </c>
      <c r="F298" s="2" t="s">
        <v>3561</v>
      </c>
      <c r="G298" s="2">
        <v>32401782322</v>
      </c>
      <c r="H298" s="2" t="s">
        <v>740</v>
      </c>
      <c r="I298" s="2" t="s">
        <v>741</v>
      </c>
      <c r="J298" s="3">
        <v>42017</v>
      </c>
      <c r="K298" s="2" t="s">
        <v>14</v>
      </c>
      <c r="L298" s="2" t="s">
        <v>1679</v>
      </c>
      <c r="M298" s="2" t="s">
        <v>1484</v>
      </c>
      <c r="N298" s="2">
        <v>0</v>
      </c>
      <c r="O298" s="2">
        <v>0</v>
      </c>
      <c r="P298" s="2">
        <v>1</v>
      </c>
      <c r="Q298" s="2">
        <v>0</v>
      </c>
      <c r="R298" s="2">
        <v>0</v>
      </c>
      <c r="S298" s="2">
        <v>0</v>
      </c>
    </row>
    <row r="299" spans="1:19" ht="39" x14ac:dyDescent="0.25">
      <c r="A299" s="2">
        <v>14572004</v>
      </c>
      <c r="B299" s="2" t="s">
        <v>66</v>
      </c>
      <c r="C299" s="2" t="s">
        <v>167</v>
      </c>
      <c r="D299" s="2" t="s">
        <v>384</v>
      </c>
      <c r="E299" s="2" t="s">
        <v>2896</v>
      </c>
      <c r="F299" s="2" t="s">
        <v>3562</v>
      </c>
      <c r="G299" s="2">
        <v>99766475306</v>
      </c>
      <c r="H299" s="2" t="s">
        <v>742</v>
      </c>
      <c r="I299" s="2" t="s">
        <v>743</v>
      </c>
      <c r="J299" s="3">
        <v>42129</v>
      </c>
      <c r="K299" s="2" t="s">
        <v>14</v>
      </c>
      <c r="L299" s="2" t="s">
        <v>1680</v>
      </c>
      <c r="M299" s="2" t="s">
        <v>1484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1</v>
      </c>
    </row>
    <row r="300" spans="1:19" ht="26.25" x14ac:dyDescent="0.25">
      <c r="A300" s="2">
        <v>10518302</v>
      </c>
      <c r="B300" s="2" t="s">
        <v>66</v>
      </c>
      <c r="C300" s="2" t="s">
        <v>167</v>
      </c>
      <c r="D300" s="2" t="s">
        <v>593</v>
      </c>
      <c r="E300" s="2" t="s">
        <v>2897</v>
      </c>
      <c r="F300" s="2" t="s">
        <v>3563</v>
      </c>
      <c r="G300" s="2">
        <v>62116294056</v>
      </c>
      <c r="H300" s="2" t="s">
        <v>744</v>
      </c>
      <c r="I300" s="2" t="s">
        <v>745</v>
      </c>
      <c r="J300" s="3">
        <v>40576</v>
      </c>
      <c r="K300" s="2" t="s">
        <v>14</v>
      </c>
      <c r="L300" s="2" t="s">
        <v>1681</v>
      </c>
      <c r="M300" s="2" t="s">
        <v>1484</v>
      </c>
      <c r="N300" s="2">
        <v>0</v>
      </c>
      <c r="O300" s="2">
        <v>0</v>
      </c>
      <c r="P300" s="2">
        <v>0</v>
      </c>
      <c r="Q300" s="2">
        <v>0</v>
      </c>
      <c r="R300" s="2">
        <v>1</v>
      </c>
      <c r="S300" s="2">
        <v>0</v>
      </c>
    </row>
    <row r="301" spans="1:19" ht="26.25" x14ac:dyDescent="0.25">
      <c r="A301" s="2">
        <v>13505020</v>
      </c>
      <c r="B301" s="2" t="s">
        <v>66</v>
      </c>
      <c r="C301" s="2" t="s">
        <v>3123</v>
      </c>
      <c r="D301" s="2" t="s">
        <v>70</v>
      </c>
      <c r="E301" s="2" t="s">
        <v>2898</v>
      </c>
      <c r="F301" s="2" t="s">
        <v>3564</v>
      </c>
      <c r="G301" s="2">
        <v>18358539226</v>
      </c>
      <c r="H301" s="2" t="s">
        <v>746</v>
      </c>
      <c r="I301" s="2" t="s">
        <v>747</v>
      </c>
      <c r="J301" s="3">
        <v>41519</v>
      </c>
      <c r="K301" s="2" t="s">
        <v>14</v>
      </c>
      <c r="L301" s="2" t="s">
        <v>1682</v>
      </c>
      <c r="M301" s="2" t="s">
        <v>1484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</v>
      </c>
    </row>
    <row r="302" spans="1:19" ht="26.25" x14ac:dyDescent="0.25">
      <c r="A302" s="2">
        <v>16550015</v>
      </c>
      <c r="B302" s="2" t="s">
        <v>10</v>
      </c>
      <c r="C302" s="2" t="s">
        <v>3120</v>
      </c>
      <c r="D302" s="2" t="s">
        <v>22</v>
      </c>
      <c r="E302" s="2" t="s">
        <v>2899</v>
      </c>
      <c r="F302" s="2" t="s">
        <v>3565</v>
      </c>
      <c r="G302" s="2">
        <v>10471481130</v>
      </c>
      <c r="H302" s="2" t="s">
        <v>748</v>
      </c>
      <c r="I302" s="2" t="s">
        <v>749</v>
      </c>
      <c r="J302" s="3">
        <v>42615</v>
      </c>
      <c r="K302" s="2" t="s">
        <v>14</v>
      </c>
      <c r="L302" s="2" t="s">
        <v>1512</v>
      </c>
      <c r="M302" s="2" t="s">
        <v>1484</v>
      </c>
      <c r="N302" s="2">
        <v>0</v>
      </c>
      <c r="O302" s="2">
        <v>0</v>
      </c>
      <c r="P302" s="2">
        <v>1</v>
      </c>
      <c r="Q302" s="2">
        <v>0</v>
      </c>
      <c r="R302" s="2">
        <v>0</v>
      </c>
      <c r="S302" s="2">
        <v>0</v>
      </c>
    </row>
    <row r="303" spans="1:19" ht="39" x14ac:dyDescent="0.25">
      <c r="A303" s="2">
        <v>9524002</v>
      </c>
      <c r="B303" s="2" t="s">
        <v>10</v>
      </c>
      <c r="C303" s="2" t="s">
        <v>3119</v>
      </c>
      <c r="D303" s="2" t="s">
        <v>90</v>
      </c>
      <c r="E303" s="2" t="s">
        <v>2900</v>
      </c>
      <c r="F303" s="2" t="s">
        <v>3566</v>
      </c>
      <c r="G303" s="2">
        <v>34090767376</v>
      </c>
      <c r="H303" s="2" t="s">
        <v>750</v>
      </c>
      <c r="I303" s="2" t="s">
        <v>751</v>
      </c>
      <c r="J303" s="3">
        <v>40071</v>
      </c>
      <c r="K303" s="2" t="s">
        <v>14</v>
      </c>
      <c r="L303" s="2" t="s">
        <v>3213</v>
      </c>
      <c r="M303" s="2" t="s">
        <v>1486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ht="39" x14ac:dyDescent="0.25">
      <c r="A304" s="2">
        <v>14552002</v>
      </c>
      <c r="B304" s="2" t="s">
        <v>10</v>
      </c>
      <c r="C304" s="2" t="s">
        <v>3119</v>
      </c>
      <c r="D304" s="2" t="s">
        <v>19</v>
      </c>
      <c r="E304" s="2" t="s">
        <v>2901</v>
      </c>
      <c r="F304" s="2" t="s">
        <v>3567</v>
      </c>
      <c r="G304" s="2">
        <v>21073164420</v>
      </c>
      <c r="H304" s="2" t="s">
        <v>752</v>
      </c>
      <c r="I304" s="2" t="s">
        <v>753</v>
      </c>
      <c r="J304" s="3">
        <v>41828</v>
      </c>
      <c r="K304" s="2" t="s">
        <v>14</v>
      </c>
      <c r="L304" s="2" t="s">
        <v>3159</v>
      </c>
      <c r="M304" s="2" t="s">
        <v>1484</v>
      </c>
      <c r="N304" s="2">
        <v>0</v>
      </c>
      <c r="O304" s="2">
        <v>0</v>
      </c>
      <c r="P304" s="2">
        <v>0</v>
      </c>
      <c r="Q304" s="2">
        <v>0</v>
      </c>
      <c r="R304" s="2">
        <v>1</v>
      </c>
      <c r="S304" s="2">
        <v>0</v>
      </c>
    </row>
    <row r="305" spans="1:19" ht="26.25" x14ac:dyDescent="0.25">
      <c r="A305" s="2">
        <v>12556004</v>
      </c>
      <c r="B305" s="2" t="s">
        <v>10</v>
      </c>
      <c r="C305" s="2" t="s">
        <v>209</v>
      </c>
      <c r="D305" s="2" t="s">
        <v>477</v>
      </c>
      <c r="E305" s="2" t="s">
        <v>2902</v>
      </c>
      <c r="F305" s="2" t="s">
        <v>3568</v>
      </c>
      <c r="G305" s="2">
        <v>54607597890</v>
      </c>
      <c r="H305" s="2" t="s">
        <v>754</v>
      </c>
      <c r="I305" s="2" t="s">
        <v>755</v>
      </c>
      <c r="J305" s="3">
        <v>41165</v>
      </c>
      <c r="K305" s="2" t="s">
        <v>14</v>
      </c>
      <c r="L305" s="2" t="s">
        <v>1683</v>
      </c>
      <c r="M305" s="2" t="s">
        <v>1486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ht="26.25" x14ac:dyDescent="0.25">
      <c r="A306" s="2">
        <v>15556005</v>
      </c>
      <c r="B306" s="2" t="s">
        <v>10</v>
      </c>
      <c r="C306" s="2" t="s">
        <v>209</v>
      </c>
      <c r="D306" s="2" t="s">
        <v>477</v>
      </c>
      <c r="E306" s="2" t="s">
        <v>2903</v>
      </c>
      <c r="F306" s="2" t="s">
        <v>3569</v>
      </c>
      <c r="G306" s="2">
        <v>26788191990</v>
      </c>
      <c r="H306" s="2" t="s">
        <v>756</v>
      </c>
      <c r="I306" s="2" t="s">
        <v>757</v>
      </c>
      <c r="J306" s="3">
        <v>42191</v>
      </c>
      <c r="K306" s="2" t="s">
        <v>14</v>
      </c>
      <c r="L306" s="2" t="s">
        <v>1684</v>
      </c>
      <c r="M306" s="2" t="s">
        <v>1484</v>
      </c>
      <c r="N306" s="2">
        <v>0</v>
      </c>
      <c r="O306" s="2">
        <v>0</v>
      </c>
      <c r="P306" s="2">
        <v>0</v>
      </c>
      <c r="Q306" s="2">
        <v>0</v>
      </c>
      <c r="R306" s="2">
        <v>1</v>
      </c>
      <c r="S306" s="2">
        <v>0</v>
      </c>
    </row>
    <row r="307" spans="1:19" ht="51.75" x14ac:dyDescent="0.25">
      <c r="A307" s="2">
        <v>9527011</v>
      </c>
      <c r="B307" s="2" t="s">
        <v>10</v>
      </c>
      <c r="C307" s="2" t="s">
        <v>3124</v>
      </c>
      <c r="D307" s="2" t="s">
        <v>63</v>
      </c>
      <c r="E307" s="2" t="s">
        <v>2904</v>
      </c>
      <c r="F307" s="2" t="s">
        <v>3570</v>
      </c>
      <c r="G307" s="2">
        <v>41761436608</v>
      </c>
      <c r="H307" s="2" t="s">
        <v>758</v>
      </c>
      <c r="I307" s="2" t="s">
        <v>759</v>
      </c>
      <c r="J307" s="3">
        <v>40080</v>
      </c>
      <c r="K307" s="2" t="s">
        <v>14</v>
      </c>
      <c r="L307" s="2" t="s">
        <v>1685</v>
      </c>
      <c r="M307" s="2" t="s">
        <v>1486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</row>
    <row r="308" spans="1:19" ht="39" x14ac:dyDescent="0.25">
      <c r="A308" s="2">
        <v>16556002</v>
      </c>
      <c r="B308" s="2" t="s">
        <v>10</v>
      </c>
      <c r="C308" s="2" t="s">
        <v>209</v>
      </c>
      <c r="D308" s="2" t="s">
        <v>477</v>
      </c>
      <c r="E308" s="2" t="s">
        <v>2905</v>
      </c>
      <c r="F308" s="2" t="s">
        <v>3571</v>
      </c>
      <c r="G308" s="2">
        <v>32608801222</v>
      </c>
      <c r="H308" s="2" t="s">
        <v>760</v>
      </c>
      <c r="I308" s="2" t="s">
        <v>761</v>
      </c>
      <c r="J308" s="3">
        <v>42583</v>
      </c>
      <c r="K308" s="2" t="s">
        <v>14</v>
      </c>
      <c r="L308" s="2" t="s">
        <v>1686</v>
      </c>
      <c r="M308" s="2" t="s">
        <v>1484</v>
      </c>
      <c r="N308" s="2">
        <v>0</v>
      </c>
      <c r="O308" s="2">
        <v>0</v>
      </c>
      <c r="P308" s="2">
        <v>1</v>
      </c>
      <c r="Q308" s="2">
        <v>0</v>
      </c>
      <c r="R308" s="2">
        <v>0</v>
      </c>
      <c r="S308" s="2">
        <v>0</v>
      </c>
    </row>
    <row r="309" spans="1:19" ht="39" x14ac:dyDescent="0.25">
      <c r="A309" s="2">
        <v>14532021</v>
      </c>
      <c r="B309" s="2" t="s">
        <v>10</v>
      </c>
      <c r="C309" s="2" t="s">
        <v>32</v>
      </c>
      <c r="D309" s="2" t="s">
        <v>33</v>
      </c>
      <c r="E309" s="2" t="s">
        <v>762</v>
      </c>
      <c r="F309" s="2" t="s">
        <v>3572</v>
      </c>
      <c r="G309" s="2">
        <v>36169660816</v>
      </c>
      <c r="H309" s="2" t="s">
        <v>763</v>
      </c>
      <c r="I309" s="2" t="s">
        <v>764</v>
      </c>
      <c r="J309" s="3">
        <v>41886</v>
      </c>
      <c r="K309" s="2" t="s">
        <v>14</v>
      </c>
      <c r="L309" s="2" t="s">
        <v>1535</v>
      </c>
      <c r="M309" s="2" t="s">
        <v>1484</v>
      </c>
      <c r="N309" s="2">
        <v>0</v>
      </c>
      <c r="O309" s="2">
        <v>0</v>
      </c>
      <c r="P309" s="2">
        <v>0</v>
      </c>
      <c r="Q309" s="2">
        <v>0</v>
      </c>
      <c r="R309" s="2">
        <v>1</v>
      </c>
      <c r="S309" s="2">
        <v>0</v>
      </c>
    </row>
    <row r="310" spans="1:19" ht="26.25" x14ac:dyDescent="0.25">
      <c r="A310" s="2">
        <v>15568007</v>
      </c>
      <c r="B310" s="2" t="s">
        <v>10</v>
      </c>
      <c r="C310" s="2" t="s">
        <v>3125</v>
      </c>
      <c r="D310" s="2" t="s">
        <v>3125</v>
      </c>
      <c r="E310" s="2" t="s">
        <v>2906</v>
      </c>
      <c r="F310" s="2" t="s">
        <v>3573</v>
      </c>
      <c r="G310" s="2">
        <v>50761696998</v>
      </c>
      <c r="H310" s="2" t="s">
        <v>765</v>
      </c>
      <c r="I310" s="2" t="s">
        <v>766</v>
      </c>
      <c r="J310" s="3">
        <v>42184</v>
      </c>
      <c r="K310" s="2" t="s">
        <v>14</v>
      </c>
      <c r="L310" s="2" t="s">
        <v>3214</v>
      </c>
      <c r="M310" s="2" t="s">
        <v>1484</v>
      </c>
      <c r="N310" s="2">
        <v>0</v>
      </c>
      <c r="O310" s="2">
        <v>0</v>
      </c>
      <c r="P310" s="2">
        <v>0</v>
      </c>
      <c r="Q310" s="2">
        <v>0</v>
      </c>
      <c r="R310" s="2">
        <v>1</v>
      </c>
      <c r="S310" s="2">
        <v>0</v>
      </c>
    </row>
    <row r="311" spans="1:19" ht="39" x14ac:dyDescent="0.25">
      <c r="A311" s="2">
        <v>13569007</v>
      </c>
      <c r="B311" s="2" t="s">
        <v>10</v>
      </c>
      <c r="C311" s="2" t="s">
        <v>488</v>
      </c>
      <c r="D311" s="2" t="s">
        <v>488</v>
      </c>
      <c r="E311" s="2" t="s">
        <v>2907</v>
      </c>
      <c r="F311" s="2" t="s">
        <v>3574</v>
      </c>
      <c r="G311" s="2">
        <v>28904057500</v>
      </c>
      <c r="H311" s="2" t="s">
        <v>767</v>
      </c>
      <c r="I311" s="2" t="s">
        <v>768</v>
      </c>
      <c r="J311" s="3">
        <v>41464</v>
      </c>
      <c r="K311" s="2" t="s">
        <v>14</v>
      </c>
      <c r="L311" s="2" t="s">
        <v>1614</v>
      </c>
      <c r="M311" s="2" t="s">
        <v>1484</v>
      </c>
      <c r="N311" s="2">
        <v>0</v>
      </c>
      <c r="O311" s="2">
        <v>0</v>
      </c>
      <c r="P311" s="2">
        <v>0</v>
      </c>
      <c r="Q311" s="2">
        <v>0</v>
      </c>
      <c r="R311" s="2">
        <v>1</v>
      </c>
      <c r="S311" s="2">
        <v>0</v>
      </c>
    </row>
    <row r="312" spans="1:19" ht="26.25" x14ac:dyDescent="0.25">
      <c r="A312" s="2">
        <v>16529002</v>
      </c>
      <c r="B312" s="2" t="s">
        <v>10</v>
      </c>
      <c r="C312" s="2" t="s">
        <v>32</v>
      </c>
      <c r="D312" s="2" t="s">
        <v>141</v>
      </c>
      <c r="E312" s="2" t="s">
        <v>769</v>
      </c>
      <c r="F312" s="2" t="s">
        <v>3575</v>
      </c>
      <c r="G312" s="2">
        <v>18437306282</v>
      </c>
      <c r="H312" s="2" t="s">
        <v>770</v>
      </c>
      <c r="I312" s="2" t="s">
        <v>771</v>
      </c>
      <c r="J312" s="3">
        <v>42583</v>
      </c>
      <c r="K312" s="2" t="s">
        <v>14</v>
      </c>
      <c r="L312" s="2" t="s">
        <v>3212</v>
      </c>
      <c r="M312" s="2" t="s">
        <v>1484</v>
      </c>
      <c r="N312" s="2">
        <v>0</v>
      </c>
      <c r="O312" s="2">
        <v>0</v>
      </c>
      <c r="P312" s="2">
        <v>0</v>
      </c>
      <c r="Q312" s="2">
        <v>0</v>
      </c>
      <c r="R312" s="2">
        <v>1</v>
      </c>
      <c r="S312" s="2">
        <v>0</v>
      </c>
    </row>
    <row r="313" spans="1:19" ht="51.75" x14ac:dyDescent="0.25">
      <c r="A313" s="2">
        <v>13561009</v>
      </c>
      <c r="B313" s="2" t="s">
        <v>10</v>
      </c>
      <c r="C313" s="2" t="s">
        <v>32</v>
      </c>
      <c r="D313" s="2" t="s">
        <v>42</v>
      </c>
      <c r="E313" s="2" t="s">
        <v>2908</v>
      </c>
      <c r="F313" s="2" t="s">
        <v>3576</v>
      </c>
      <c r="G313" s="2">
        <v>34964237424</v>
      </c>
      <c r="H313" s="2" t="s">
        <v>772</v>
      </c>
      <c r="I313" s="2" t="s">
        <v>773</v>
      </c>
      <c r="J313" s="3">
        <v>41465</v>
      </c>
      <c r="K313" s="2" t="s">
        <v>14</v>
      </c>
      <c r="L313" s="2" t="s">
        <v>1551</v>
      </c>
      <c r="M313" s="2" t="s">
        <v>1484</v>
      </c>
      <c r="N313" s="2">
        <v>0</v>
      </c>
      <c r="O313" s="2">
        <v>0</v>
      </c>
      <c r="P313" s="2">
        <v>0</v>
      </c>
      <c r="Q313" s="2">
        <v>0</v>
      </c>
      <c r="R313" s="2">
        <v>1</v>
      </c>
      <c r="S313" s="2">
        <v>0</v>
      </c>
    </row>
    <row r="314" spans="1:19" ht="26.25" x14ac:dyDescent="0.25">
      <c r="A314" s="2">
        <v>14504044</v>
      </c>
      <c r="B314" s="2" t="s">
        <v>10</v>
      </c>
      <c r="C314" s="2" t="s">
        <v>3123</v>
      </c>
      <c r="D314" s="2" t="s">
        <v>52</v>
      </c>
      <c r="E314" s="2" t="s">
        <v>774</v>
      </c>
      <c r="F314" s="2" t="s">
        <v>3577</v>
      </c>
      <c r="G314" s="2">
        <v>44539046870</v>
      </c>
      <c r="H314" s="2" t="s">
        <v>775</v>
      </c>
      <c r="I314" s="2" t="s">
        <v>776</v>
      </c>
      <c r="J314" s="3">
        <v>42044</v>
      </c>
      <c r="K314" s="2" t="s">
        <v>14</v>
      </c>
      <c r="L314" s="2" t="s">
        <v>3153</v>
      </c>
      <c r="M314" s="2" t="s">
        <v>1484</v>
      </c>
      <c r="N314" s="2">
        <v>0</v>
      </c>
      <c r="O314" s="2">
        <v>0</v>
      </c>
      <c r="P314" s="2">
        <v>0</v>
      </c>
      <c r="Q314" s="2">
        <v>0</v>
      </c>
      <c r="R314" s="2">
        <v>1</v>
      </c>
      <c r="S314" s="2">
        <v>0</v>
      </c>
    </row>
    <row r="315" spans="1:19" ht="26.25" x14ac:dyDescent="0.25">
      <c r="A315" s="2">
        <v>15534014</v>
      </c>
      <c r="B315" s="2" t="s">
        <v>10</v>
      </c>
      <c r="C315" s="2" t="s">
        <v>32</v>
      </c>
      <c r="D315" s="2" t="s">
        <v>196</v>
      </c>
      <c r="E315" s="2" t="s">
        <v>2909</v>
      </c>
      <c r="F315" s="2" t="s">
        <v>3578</v>
      </c>
      <c r="G315" s="2">
        <v>44776346382</v>
      </c>
      <c r="H315" s="2" t="s">
        <v>777</v>
      </c>
      <c r="I315" s="2" t="s">
        <v>778</v>
      </c>
      <c r="J315" s="3">
        <v>42188</v>
      </c>
      <c r="K315" s="2" t="s">
        <v>14</v>
      </c>
      <c r="L315" s="2" t="s">
        <v>1687</v>
      </c>
      <c r="M315" s="2" t="s">
        <v>1484</v>
      </c>
      <c r="N315" s="2">
        <v>0</v>
      </c>
      <c r="O315" s="2">
        <v>0</v>
      </c>
      <c r="P315" s="2">
        <v>1</v>
      </c>
      <c r="Q315" s="2">
        <v>0</v>
      </c>
      <c r="R315" s="2">
        <v>0</v>
      </c>
      <c r="S315" s="2">
        <v>0</v>
      </c>
    </row>
    <row r="316" spans="1:19" ht="26.25" x14ac:dyDescent="0.25">
      <c r="A316" s="2">
        <v>4510001</v>
      </c>
      <c r="B316" s="2" t="s">
        <v>10</v>
      </c>
      <c r="C316" s="2" t="s">
        <v>3128</v>
      </c>
      <c r="D316" s="2" t="s">
        <v>150</v>
      </c>
      <c r="E316" s="2" t="s">
        <v>2910</v>
      </c>
      <c r="F316" s="2" t="s">
        <v>3579</v>
      </c>
      <c r="G316" s="2">
        <v>47698919238</v>
      </c>
      <c r="H316" s="2" t="s">
        <v>779</v>
      </c>
      <c r="I316" s="2" t="s">
        <v>780</v>
      </c>
      <c r="J316" s="3">
        <v>40772</v>
      </c>
      <c r="K316" s="2" t="s">
        <v>14</v>
      </c>
      <c r="L316" s="2" t="s">
        <v>1688</v>
      </c>
      <c r="M316" s="2" t="s">
        <v>1486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ht="39" x14ac:dyDescent="0.25">
      <c r="A317" s="2">
        <v>14534020</v>
      </c>
      <c r="B317" s="2" t="s">
        <v>10</v>
      </c>
      <c r="C317" s="2" t="s">
        <v>32</v>
      </c>
      <c r="D317" s="2" t="s">
        <v>196</v>
      </c>
      <c r="E317" s="2" t="s">
        <v>2911</v>
      </c>
      <c r="F317" s="2" t="s">
        <v>3580</v>
      </c>
      <c r="G317" s="2">
        <v>15256562776</v>
      </c>
      <c r="H317" s="2" t="s">
        <v>781</v>
      </c>
      <c r="I317" s="2" t="s">
        <v>782</v>
      </c>
      <c r="J317" s="3">
        <v>41886</v>
      </c>
      <c r="K317" s="2" t="s">
        <v>14</v>
      </c>
      <c r="L317" s="2" t="s">
        <v>1581</v>
      </c>
      <c r="M317" s="2" t="s">
        <v>1484</v>
      </c>
      <c r="N317" s="2">
        <v>0</v>
      </c>
      <c r="O317" s="2">
        <v>0</v>
      </c>
      <c r="P317" s="2">
        <v>1</v>
      </c>
      <c r="Q317" s="2">
        <v>0</v>
      </c>
      <c r="R317" s="2">
        <v>0</v>
      </c>
      <c r="S317" s="2">
        <v>0</v>
      </c>
    </row>
    <row r="318" spans="1:19" ht="51.75" x14ac:dyDescent="0.25">
      <c r="A318" s="2">
        <v>13502019</v>
      </c>
      <c r="B318" s="2" t="s">
        <v>10</v>
      </c>
      <c r="C318" s="2" t="s">
        <v>3132</v>
      </c>
      <c r="D318" s="2" t="s">
        <v>3132</v>
      </c>
      <c r="E318" s="2" t="s">
        <v>2912</v>
      </c>
      <c r="F318" s="2" t="s">
        <v>3581</v>
      </c>
      <c r="G318" s="2">
        <v>12079403972</v>
      </c>
      <c r="H318" s="2" t="s">
        <v>783</v>
      </c>
      <c r="I318" s="2" t="s">
        <v>784</v>
      </c>
      <c r="J318" s="3">
        <v>41648</v>
      </c>
      <c r="K318" s="2" t="s">
        <v>14</v>
      </c>
      <c r="L318" s="2" t="s">
        <v>1689</v>
      </c>
      <c r="M318" s="2" t="s">
        <v>1484</v>
      </c>
      <c r="N318" s="2">
        <v>0</v>
      </c>
      <c r="O318" s="2">
        <v>0</v>
      </c>
      <c r="P318" s="2">
        <v>0</v>
      </c>
      <c r="Q318" s="2">
        <v>0</v>
      </c>
      <c r="R318" s="2">
        <v>1</v>
      </c>
      <c r="S318" s="2">
        <v>0</v>
      </c>
    </row>
    <row r="319" spans="1:19" ht="51.75" x14ac:dyDescent="0.25">
      <c r="A319" s="2">
        <v>15513028</v>
      </c>
      <c r="B319" s="2" t="s">
        <v>10</v>
      </c>
      <c r="C319" s="2" t="s">
        <v>3128</v>
      </c>
      <c r="D319" s="2" t="s">
        <v>45</v>
      </c>
      <c r="E319" s="2" t="s">
        <v>785</v>
      </c>
      <c r="F319" s="2" t="s">
        <v>3582</v>
      </c>
      <c r="G319" s="2">
        <v>27172854422</v>
      </c>
      <c r="H319" s="2" t="s">
        <v>786</v>
      </c>
      <c r="I319" s="2" t="s">
        <v>787</v>
      </c>
      <c r="J319" s="3">
        <v>42244</v>
      </c>
      <c r="K319" s="2" t="s">
        <v>14</v>
      </c>
      <c r="L319" s="2" t="s">
        <v>3215</v>
      </c>
      <c r="M319" s="2" t="s">
        <v>1484</v>
      </c>
      <c r="N319" s="2">
        <v>0</v>
      </c>
      <c r="O319" s="2">
        <v>0</v>
      </c>
      <c r="P319" s="2">
        <v>0</v>
      </c>
      <c r="Q319" s="2">
        <v>0</v>
      </c>
      <c r="R319" s="2">
        <v>1</v>
      </c>
      <c r="S319" s="2">
        <v>0</v>
      </c>
    </row>
    <row r="320" spans="1:19" ht="26.25" x14ac:dyDescent="0.25">
      <c r="A320" s="2">
        <v>16534015</v>
      </c>
      <c r="B320" s="2" t="s">
        <v>10</v>
      </c>
      <c r="C320" s="2" t="s">
        <v>32</v>
      </c>
      <c r="D320" s="2" t="s">
        <v>196</v>
      </c>
      <c r="E320" s="2" t="s">
        <v>788</v>
      </c>
      <c r="F320" s="2" t="s">
        <v>3583</v>
      </c>
      <c r="G320" s="2">
        <v>28901330286</v>
      </c>
      <c r="H320" s="2" t="s">
        <v>789</v>
      </c>
      <c r="I320" s="2" t="s">
        <v>790</v>
      </c>
      <c r="J320" s="3">
        <v>42614</v>
      </c>
      <c r="K320" s="2" t="s">
        <v>14</v>
      </c>
      <c r="L320" s="2" t="s">
        <v>3201</v>
      </c>
      <c r="M320" s="2" t="s">
        <v>1484</v>
      </c>
      <c r="N320" s="2">
        <v>0</v>
      </c>
      <c r="O320" s="2">
        <v>0</v>
      </c>
      <c r="P320" s="2">
        <v>0</v>
      </c>
      <c r="Q320" s="2">
        <v>0</v>
      </c>
      <c r="R320" s="2">
        <v>1</v>
      </c>
      <c r="S320" s="2">
        <v>0</v>
      </c>
    </row>
    <row r="321" spans="1:19" ht="39" x14ac:dyDescent="0.25">
      <c r="A321" s="2">
        <v>13520042</v>
      </c>
      <c r="B321" s="2" t="s">
        <v>10</v>
      </c>
      <c r="C321" s="2" t="s">
        <v>3118</v>
      </c>
      <c r="D321" s="2" t="s">
        <v>3118</v>
      </c>
      <c r="E321" s="2" t="s">
        <v>2913</v>
      </c>
      <c r="F321" s="2" t="s">
        <v>3584</v>
      </c>
      <c r="G321" s="2">
        <v>16265376354</v>
      </c>
      <c r="H321" s="2" t="s">
        <v>791</v>
      </c>
      <c r="I321" s="2" t="s">
        <v>792</v>
      </c>
      <c r="J321" s="3">
        <v>41652</v>
      </c>
      <c r="K321" s="2" t="s">
        <v>14</v>
      </c>
      <c r="L321" s="2" t="s">
        <v>1690</v>
      </c>
      <c r="M321" s="2" t="s">
        <v>1484</v>
      </c>
      <c r="N321" s="2">
        <v>0</v>
      </c>
      <c r="O321" s="2">
        <v>0</v>
      </c>
      <c r="P321" s="2">
        <v>0</v>
      </c>
      <c r="Q321" s="2">
        <v>0</v>
      </c>
      <c r="R321" s="2">
        <v>1</v>
      </c>
      <c r="S321" s="2">
        <v>0</v>
      </c>
    </row>
    <row r="322" spans="1:19" ht="39" x14ac:dyDescent="0.25">
      <c r="A322" s="2">
        <v>13558009</v>
      </c>
      <c r="B322" s="2" t="s">
        <v>10</v>
      </c>
      <c r="C322" s="2" t="s">
        <v>209</v>
      </c>
      <c r="D322" s="2" t="s">
        <v>281</v>
      </c>
      <c r="E322" s="2" t="s">
        <v>2914</v>
      </c>
      <c r="F322" s="2" t="s">
        <v>3585</v>
      </c>
      <c r="G322" s="2">
        <v>15842992178</v>
      </c>
      <c r="H322" s="2" t="s">
        <v>793</v>
      </c>
      <c r="I322" s="2" t="s">
        <v>794</v>
      </c>
      <c r="J322" s="3">
        <v>41648</v>
      </c>
      <c r="K322" s="2" t="s">
        <v>14</v>
      </c>
      <c r="L322" s="2" t="s">
        <v>1691</v>
      </c>
      <c r="M322" s="2" t="s">
        <v>1484</v>
      </c>
      <c r="N322" s="2">
        <v>0</v>
      </c>
      <c r="O322" s="2">
        <v>0</v>
      </c>
      <c r="P322" s="2">
        <v>1</v>
      </c>
      <c r="Q322" s="2">
        <v>0</v>
      </c>
      <c r="R322" s="2">
        <v>0</v>
      </c>
      <c r="S322" s="2">
        <v>0</v>
      </c>
    </row>
    <row r="323" spans="1:19" ht="26.25" x14ac:dyDescent="0.25">
      <c r="A323" s="2">
        <v>14505049</v>
      </c>
      <c r="B323" s="2" t="s">
        <v>10</v>
      </c>
      <c r="C323" s="2" t="s">
        <v>3123</v>
      </c>
      <c r="D323" s="2" t="s">
        <v>70</v>
      </c>
      <c r="E323" s="2" t="s">
        <v>2915</v>
      </c>
      <c r="F323" s="2" t="s">
        <v>3586</v>
      </c>
      <c r="G323" s="2">
        <v>66187008680</v>
      </c>
      <c r="H323" s="2" t="s">
        <v>795</v>
      </c>
      <c r="I323" s="2" t="s">
        <v>796</v>
      </c>
      <c r="J323" s="3">
        <v>42013</v>
      </c>
      <c r="K323" s="2" t="s">
        <v>14</v>
      </c>
      <c r="L323" s="2" t="s">
        <v>1692</v>
      </c>
      <c r="M323" s="2" t="s">
        <v>1484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1</v>
      </c>
    </row>
    <row r="324" spans="1:19" ht="51.75" x14ac:dyDescent="0.25">
      <c r="A324" s="2">
        <v>6534004</v>
      </c>
      <c r="B324" s="2" t="s">
        <v>10</v>
      </c>
      <c r="C324" s="2" t="s">
        <v>32</v>
      </c>
      <c r="D324" s="2" t="s">
        <v>196</v>
      </c>
      <c r="E324" s="2" t="s">
        <v>2916</v>
      </c>
      <c r="F324" s="2" t="s">
        <v>3587</v>
      </c>
      <c r="G324" s="2">
        <v>65989111000</v>
      </c>
      <c r="H324" s="2" t="s">
        <v>797</v>
      </c>
      <c r="I324" s="2" t="s">
        <v>798</v>
      </c>
      <c r="J324" s="3">
        <v>40772</v>
      </c>
      <c r="K324" s="2" t="s">
        <v>14</v>
      </c>
      <c r="L324" s="2" t="s">
        <v>3216</v>
      </c>
      <c r="M324" s="2" t="s">
        <v>1486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ht="39" x14ac:dyDescent="0.25">
      <c r="A325" s="2">
        <v>15516009</v>
      </c>
      <c r="B325" s="2" t="s">
        <v>10</v>
      </c>
      <c r="C325" s="2" t="s">
        <v>167</v>
      </c>
      <c r="D325" s="2" t="s">
        <v>168</v>
      </c>
      <c r="E325" s="2" t="s">
        <v>2917</v>
      </c>
      <c r="F325" s="2" t="s">
        <v>3588</v>
      </c>
      <c r="G325" s="2">
        <v>48715667408</v>
      </c>
      <c r="H325" s="2" t="s">
        <v>799</v>
      </c>
      <c r="I325" s="2" t="s">
        <v>800</v>
      </c>
      <c r="J325" s="3">
        <v>42391</v>
      </c>
      <c r="K325" s="2" t="s">
        <v>14</v>
      </c>
      <c r="L325" s="2" t="s">
        <v>1693</v>
      </c>
      <c r="M325" s="2" t="s">
        <v>1484</v>
      </c>
      <c r="N325" s="2">
        <v>0</v>
      </c>
      <c r="O325" s="2">
        <v>0</v>
      </c>
      <c r="P325" s="2">
        <v>1</v>
      </c>
      <c r="Q325" s="2">
        <v>0</v>
      </c>
      <c r="R325" s="2">
        <v>0</v>
      </c>
      <c r="S325" s="2">
        <v>0</v>
      </c>
    </row>
    <row r="326" spans="1:19" ht="26.25" x14ac:dyDescent="0.25">
      <c r="A326" s="2">
        <v>16568009</v>
      </c>
      <c r="B326" s="2" t="s">
        <v>10</v>
      </c>
      <c r="C326" s="2" t="s">
        <v>3125</v>
      </c>
      <c r="D326" s="2" t="s">
        <v>3125</v>
      </c>
      <c r="E326" s="2" t="s">
        <v>2918</v>
      </c>
      <c r="F326" s="2" t="s">
        <v>3589</v>
      </c>
      <c r="G326" s="2">
        <v>42199605130</v>
      </c>
      <c r="H326" s="2" t="s">
        <v>801</v>
      </c>
      <c r="I326" s="2" t="s">
        <v>802</v>
      </c>
      <c r="J326" s="3">
        <v>42584</v>
      </c>
      <c r="K326" s="2" t="s">
        <v>14</v>
      </c>
      <c r="L326" s="2" t="s">
        <v>1694</v>
      </c>
      <c r="M326" s="2" t="s">
        <v>1484</v>
      </c>
      <c r="N326" s="2">
        <v>0</v>
      </c>
      <c r="O326" s="2">
        <v>0</v>
      </c>
      <c r="P326" s="2">
        <v>0</v>
      </c>
      <c r="Q326" s="2">
        <v>1</v>
      </c>
      <c r="R326" s="2">
        <v>0</v>
      </c>
      <c r="S326" s="2">
        <v>0</v>
      </c>
    </row>
    <row r="327" spans="1:19" ht="39" x14ac:dyDescent="0.25">
      <c r="A327" s="2">
        <v>14509012</v>
      </c>
      <c r="B327" s="2" t="s">
        <v>10</v>
      </c>
      <c r="C327" s="2" t="s">
        <v>3128</v>
      </c>
      <c r="D327" s="2" t="s">
        <v>468</v>
      </c>
      <c r="E327" s="2" t="s">
        <v>2919</v>
      </c>
      <c r="F327" s="2" t="s">
        <v>3590</v>
      </c>
      <c r="G327" s="2">
        <v>36898290926</v>
      </c>
      <c r="H327" s="2" t="s">
        <v>803</v>
      </c>
      <c r="I327" s="2" t="s">
        <v>804</v>
      </c>
      <c r="J327" s="3">
        <v>41879</v>
      </c>
      <c r="K327" s="2" t="s">
        <v>14</v>
      </c>
      <c r="L327" s="2" t="s">
        <v>1695</v>
      </c>
      <c r="M327" s="2" t="s">
        <v>1484</v>
      </c>
      <c r="N327" s="2">
        <v>0</v>
      </c>
      <c r="O327" s="2">
        <v>0</v>
      </c>
      <c r="P327" s="2">
        <v>0</v>
      </c>
      <c r="Q327" s="2">
        <v>0</v>
      </c>
      <c r="R327" s="2">
        <v>1</v>
      </c>
      <c r="S327" s="2">
        <v>0</v>
      </c>
    </row>
    <row r="328" spans="1:19" ht="39" x14ac:dyDescent="0.25">
      <c r="A328" s="2">
        <v>14509004</v>
      </c>
      <c r="B328" s="2" t="s">
        <v>10</v>
      </c>
      <c r="C328" s="2" t="s">
        <v>3128</v>
      </c>
      <c r="D328" s="2" t="s">
        <v>468</v>
      </c>
      <c r="E328" s="2" t="s">
        <v>805</v>
      </c>
      <c r="F328" s="2" t="s">
        <v>3591</v>
      </c>
      <c r="G328" s="2">
        <v>13919138702</v>
      </c>
      <c r="H328" s="2" t="s">
        <v>806</v>
      </c>
      <c r="I328" s="2" t="s">
        <v>807</v>
      </c>
      <c r="J328" s="3">
        <v>41829</v>
      </c>
      <c r="K328" s="2" t="s">
        <v>14</v>
      </c>
      <c r="L328" s="2" t="s">
        <v>1696</v>
      </c>
      <c r="M328" s="2" t="s">
        <v>1484</v>
      </c>
      <c r="N328" s="2">
        <v>0</v>
      </c>
      <c r="O328" s="2">
        <v>0</v>
      </c>
      <c r="P328" s="2">
        <v>0</v>
      </c>
      <c r="Q328" s="2">
        <v>0</v>
      </c>
      <c r="R328" s="2">
        <v>1</v>
      </c>
      <c r="S328" s="2">
        <v>0</v>
      </c>
    </row>
    <row r="329" spans="1:19" ht="26.25" x14ac:dyDescent="0.25">
      <c r="A329" s="2">
        <v>17506016</v>
      </c>
      <c r="B329" s="2" t="s">
        <v>10</v>
      </c>
      <c r="C329" s="2" t="s">
        <v>3122</v>
      </c>
      <c r="D329" s="2" t="s">
        <v>3122</v>
      </c>
      <c r="E329" s="2" t="s">
        <v>2920</v>
      </c>
      <c r="F329" s="2" t="s">
        <v>3592</v>
      </c>
      <c r="G329" s="2">
        <v>36236182012</v>
      </c>
      <c r="H329" s="2" t="s">
        <v>808</v>
      </c>
      <c r="I329" s="2" t="s">
        <v>809</v>
      </c>
      <c r="J329" s="3">
        <v>42926</v>
      </c>
      <c r="K329" s="2" t="s">
        <v>14</v>
      </c>
      <c r="L329" s="2" t="s">
        <v>1697</v>
      </c>
      <c r="M329" s="2" t="s">
        <v>1484</v>
      </c>
      <c r="N329" s="2">
        <v>0</v>
      </c>
      <c r="O329" s="2">
        <v>0</v>
      </c>
      <c r="P329" s="2">
        <v>1</v>
      </c>
      <c r="Q329" s="2">
        <v>0</v>
      </c>
      <c r="R329" s="2">
        <v>0</v>
      </c>
      <c r="S329" s="2">
        <v>0</v>
      </c>
    </row>
    <row r="330" spans="1:19" ht="39" x14ac:dyDescent="0.25">
      <c r="A330" s="2">
        <v>13568018</v>
      </c>
      <c r="B330" s="2" t="s">
        <v>10</v>
      </c>
      <c r="C330" s="2" t="s">
        <v>3125</v>
      </c>
      <c r="D330" s="2" t="s">
        <v>3125</v>
      </c>
      <c r="E330" s="2" t="s">
        <v>2921</v>
      </c>
      <c r="F330" s="2" t="s">
        <v>3593</v>
      </c>
      <c r="G330" s="2">
        <v>53848107646</v>
      </c>
      <c r="H330" s="2" t="s">
        <v>810</v>
      </c>
      <c r="I330" s="2" t="s">
        <v>811</v>
      </c>
      <c r="J330" s="3">
        <v>41464</v>
      </c>
      <c r="K330" s="2" t="s">
        <v>14</v>
      </c>
      <c r="L330" s="2" t="s">
        <v>3217</v>
      </c>
      <c r="M330" s="2" t="s">
        <v>1484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 s="2">
        <v>0</v>
      </c>
    </row>
    <row r="331" spans="1:19" ht="26.25" x14ac:dyDescent="0.25">
      <c r="A331" s="2">
        <v>17567024</v>
      </c>
      <c r="B331" s="2" t="s">
        <v>10</v>
      </c>
      <c r="C331" s="2" t="s">
        <v>3121</v>
      </c>
      <c r="D331" s="2" t="s">
        <v>3121</v>
      </c>
      <c r="E331" s="2" t="s">
        <v>812</v>
      </c>
      <c r="F331" s="2" t="s">
        <v>3594</v>
      </c>
      <c r="G331" s="2">
        <v>37564247626</v>
      </c>
      <c r="H331" s="2" t="s">
        <v>813</v>
      </c>
      <c r="I331" s="2" t="s">
        <v>814</v>
      </c>
      <c r="J331" s="3">
        <v>43124</v>
      </c>
      <c r="K331" s="2" t="s">
        <v>14</v>
      </c>
      <c r="L331" s="2" t="s">
        <v>1539</v>
      </c>
      <c r="M331" s="2" t="s">
        <v>1484</v>
      </c>
      <c r="N331" s="2">
        <v>0</v>
      </c>
      <c r="O331" s="2">
        <v>0</v>
      </c>
      <c r="P331" s="2">
        <v>0</v>
      </c>
      <c r="Q331" s="2">
        <v>0</v>
      </c>
      <c r="R331" s="2">
        <v>1</v>
      </c>
      <c r="S331" s="2">
        <v>0</v>
      </c>
    </row>
    <row r="332" spans="1:19" ht="51.75" x14ac:dyDescent="0.25">
      <c r="A332" s="2">
        <v>16570018</v>
      </c>
      <c r="B332" s="2" t="s">
        <v>10</v>
      </c>
      <c r="C332" s="2" t="s">
        <v>3127</v>
      </c>
      <c r="D332" s="2" t="s">
        <v>3127</v>
      </c>
      <c r="E332" s="2" t="s">
        <v>2922</v>
      </c>
      <c r="F332" s="2" t="s">
        <v>3595</v>
      </c>
      <c r="G332" s="2">
        <v>27121746426</v>
      </c>
      <c r="H332" s="2" t="s">
        <v>815</v>
      </c>
      <c r="I332" s="2" t="s">
        <v>816</v>
      </c>
      <c r="J332" s="3">
        <v>42586</v>
      </c>
      <c r="K332" s="2" t="s">
        <v>14</v>
      </c>
      <c r="L332" s="2" t="s">
        <v>1557</v>
      </c>
      <c r="M332" s="2" t="s">
        <v>1484</v>
      </c>
      <c r="N332" s="2">
        <v>0</v>
      </c>
      <c r="O332" s="2">
        <v>0</v>
      </c>
      <c r="P332" s="2">
        <v>0</v>
      </c>
      <c r="Q332" s="2">
        <v>0</v>
      </c>
      <c r="R332" s="2">
        <v>1</v>
      </c>
      <c r="S332" s="2">
        <v>0</v>
      </c>
    </row>
    <row r="333" spans="1:19" ht="26.25" x14ac:dyDescent="0.25">
      <c r="A333" s="2">
        <v>10524001</v>
      </c>
      <c r="B333" s="2" t="s">
        <v>10</v>
      </c>
      <c r="C333" s="2" t="s">
        <v>3119</v>
      </c>
      <c r="D333" s="2" t="s">
        <v>90</v>
      </c>
      <c r="E333" s="2" t="s">
        <v>2923</v>
      </c>
      <c r="F333" s="2" t="s">
        <v>3596</v>
      </c>
      <c r="G333" s="2">
        <v>54379296892</v>
      </c>
      <c r="H333" s="2" t="s">
        <v>817</v>
      </c>
      <c r="I333" s="2" t="s">
        <v>818</v>
      </c>
      <c r="J333" s="3">
        <v>40441</v>
      </c>
      <c r="K333" s="2" t="s">
        <v>14</v>
      </c>
      <c r="L333" s="2" t="s">
        <v>1698</v>
      </c>
      <c r="M333" s="2" t="s">
        <v>1486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ht="26.25" x14ac:dyDescent="0.25">
      <c r="A334" s="2">
        <v>14533015</v>
      </c>
      <c r="B334" s="2" t="s">
        <v>10</v>
      </c>
      <c r="C334" s="2" t="s">
        <v>32</v>
      </c>
      <c r="D334" s="2" t="s">
        <v>132</v>
      </c>
      <c r="E334" s="2" t="s">
        <v>2924</v>
      </c>
      <c r="F334" s="2" t="s">
        <v>3597</v>
      </c>
      <c r="G334" s="2">
        <v>16306297150</v>
      </c>
      <c r="H334" s="2" t="s">
        <v>819</v>
      </c>
      <c r="I334" s="2" t="s">
        <v>820</v>
      </c>
      <c r="J334" s="3">
        <v>41886</v>
      </c>
      <c r="K334" s="2" t="s">
        <v>14</v>
      </c>
      <c r="L334" s="2" t="s">
        <v>1699</v>
      </c>
      <c r="M334" s="2" t="s">
        <v>1484</v>
      </c>
      <c r="N334" s="2">
        <v>0</v>
      </c>
      <c r="O334" s="2">
        <v>0</v>
      </c>
      <c r="P334" s="2">
        <v>1</v>
      </c>
      <c r="Q334" s="2">
        <v>0</v>
      </c>
      <c r="R334" s="2">
        <v>0</v>
      </c>
      <c r="S334" s="2">
        <v>0</v>
      </c>
    </row>
    <row r="335" spans="1:19" ht="39" x14ac:dyDescent="0.25">
      <c r="A335" s="2">
        <v>14550005</v>
      </c>
      <c r="B335" s="2" t="s">
        <v>10</v>
      </c>
      <c r="C335" s="2" t="s">
        <v>3120</v>
      </c>
      <c r="D335" s="2" t="s">
        <v>22</v>
      </c>
      <c r="E335" s="2" t="s">
        <v>821</v>
      </c>
      <c r="F335" s="2" t="s">
        <v>3598</v>
      </c>
      <c r="G335" s="2">
        <v>26698518498</v>
      </c>
      <c r="H335" s="2" t="s">
        <v>822</v>
      </c>
      <c r="I335" s="2" t="s">
        <v>823</v>
      </c>
      <c r="J335" s="3">
        <v>41829</v>
      </c>
      <c r="K335" s="2" t="s">
        <v>14</v>
      </c>
      <c r="L335" s="2" t="s">
        <v>1700</v>
      </c>
      <c r="M335" s="2" t="s">
        <v>1484</v>
      </c>
      <c r="N335" s="2">
        <v>0</v>
      </c>
      <c r="O335" s="2">
        <v>0</v>
      </c>
      <c r="P335" s="2">
        <v>1</v>
      </c>
      <c r="Q335" s="2">
        <v>0</v>
      </c>
      <c r="R335" s="2">
        <v>0</v>
      </c>
      <c r="S335" s="2">
        <v>0</v>
      </c>
    </row>
    <row r="336" spans="1:19" ht="26.25" x14ac:dyDescent="0.25">
      <c r="A336" s="2">
        <v>14555022</v>
      </c>
      <c r="B336" s="2" t="s">
        <v>10</v>
      </c>
      <c r="C336" s="2" t="s">
        <v>3117</v>
      </c>
      <c r="D336" s="2" t="s">
        <v>3147</v>
      </c>
      <c r="E336" s="2" t="s">
        <v>2925</v>
      </c>
      <c r="F336" s="2" t="s">
        <v>3599</v>
      </c>
      <c r="G336" s="2">
        <v>12794234080</v>
      </c>
      <c r="H336" s="2" t="s">
        <v>824</v>
      </c>
      <c r="I336" s="2" t="s">
        <v>825</v>
      </c>
      <c r="J336" s="3">
        <v>42018</v>
      </c>
      <c r="K336" s="2" t="s">
        <v>14</v>
      </c>
      <c r="L336" s="2" t="s">
        <v>3218</v>
      </c>
      <c r="M336" s="2" t="s">
        <v>1484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1</v>
      </c>
    </row>
    <row r="337" spans="1:19" ht="39" x14ac:dyDescent="0.25">
      <c r="A337" s="2">
        <v>16558005</v>
      </c>
      <c r="B337" s="2" t="s">
        <v>10</v>
      </c>
      <c r="C337" s="2" t="s">
        <v>209</v>
      </c>
      <c r="D337" s="2" t="s">
        <v>281</v>
      </c>
      <c r="E337" s="2" t="s">
        <v>826</v>
      </c>
      <c r="F337" s="2" t="s">
        <v>3600</v>
      </c>
      <c r="G337" s="2">
        <v>31063175848</v>
      </c>
      <c r="H337" s="2" t="s">
        <v>827</v>
      </c>
      <c r="I337" s="2" t="s">
        <v>828</v>
      </c>
      <c r="J337" s="3">
        <v>42587</v>
      </c>
      <c r="K337" s="2" t="s">
        <v>14</v>
      </c>
      <c r="L337" s="2" t="s">
        <v>1701</v>
      </c>
      <c r="M337" s="2" t="s">
        <v>1484</v>
      </c>
      <c r="N337" s="2">
        <v>0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</row>
    <row r="338" spans="1:19" ht="39" x14ac:dyDescent="0.25">
      <c r="A338" s="2">
        <v>13549008</v>
      </c>
      <c r="B338" s="2" t="s">
        <v>66</v>
      </c>
      <c r="C338" s="2" t="s">
        <v>3117</v>
      </c>
      <c r="D338" s="2" t="s">
        <v>11</v>
      </c>
      <c r="E338" s="2" t="s">
        <v>829</v>
      </c>
      <c r="F338" s="2" t="s">
        <v>3601</v>
      </c>
      <c r="G338" s="2">
        <v>63604241590</v>
      </c>
      <c r="H338" s="2" t="s">
        <v>830</v>
      </c>
      <c r="I338" s="2" t="s">
        <v>831</v>
      </c>
      <c r="J338" s="3">
        <v>41460</v>
      </c>
      <c r="K338" s="2" t="s">
        <v>14</v>
      </c>
      <c r="L338" s="2" t="s">
        <v>3163</v>
      </c>
      <c r="M338" s="2" t="s">
        <v>1484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</v>
      </c>
    </row>
    <row r="339" spans="1:19" ht="39" x14ac:dyDescent="0.25">
      <c r="A339" s="2">
        <v>9502002</v>
      </c>
      <c r="B339" s="2" t="s">
        <v>10</v>
      </c>
      <c r="C339" s="2" t="s">
        <v>3132</v>
      </c>
      <c r="D339" s="2" t="s">
        <v>3132</v>
      </c>
      <c r="E339" s="2" t="s">
        <v>2926</v>
      </c>
      <c r="F339" s="2" t="s">
        <v>3602</v>
      </c>
      <c r="G339" s="2">
        <v>40306243596</v>
      </c>
      <c r="H339" s="2" t="s">
        <v>832</v>
      </c>
      <c r="I339" s="2" t="s">
        <v>833</v>
      </c>
      <c r="J339" s="3">
        <v>40073</v>
      </c>
      <c r="K339" s="2" t="s">
        <v>14</v>
      </c>
      <c r="L339" s="2" t="s">
        <v>1702</v>
      </c>
      <c r="M339" s="2" t="s">
        <v>1486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ht="26.25" x14ac:dyDescent="0.25">
      <c r="A340" s="2">
        <v>16504033</v>
      </c>
      <c r="B340" s="2" t="s">
        <v>10</v>
      </c>
      <c r="C340" s="2" t="s">
        <v>3123</v>
      </c>
      <c r="D340" s="2" t="s">
        <v>52</v>
      </c>
      <c r="E340" s="2" t="s">
        <v>2927</v>
      </c>
      <c r="F340" s="2" t="s">
        <v>3603</v>
      </c>
      <c r="G340" s="2">
        <v>11803965632</v>
      </c>
      <c r="H340" s="2" t="s">
        <v>834</v>
      </c>
      <c r="I340" s="2" t="s">
        <v>835</v>
      </c>
      <c r="J340" s="3">
        <v>42760</v>
      </c>
      <c r="K340" s="2" t="s">
        <v>14</v>
      </c>
      <c r="L340" s="2" t="s">
        <v>1703</v>
      </c>
      <c r="M340" s="2" t="s">
        <v>1484</v>
      </c>
      <c r="N340" s="2">
        <v>0</v>
      </c>
      <c r="O340" s="2">
        <v>0</v>
      </c>
      <c r="P340" s="2">
        <v>1</v>
      </c>
      <c r="Q340" s="2">
        <v>0</v>
      </c>
      <c r="R340" s="2">
        <v>0</v>
      </c>
      <c r="S340" s="2">
        <v>0</v>
      </c>
    </row>
    <row r="341" spans="1:19" ht="26.25" x14ac:dyDescent="0.25">
      <c r="A341" s="2">
        <v>14558009</v>
      </c>
      <c r="B341" s="2" t="s">
        <v>10</v>
      </c>
      <c r="C341" s="2" t="s">
        <v>209</v>
      </c>
      <c r="D341" s="2" t="s">
        <v>281</v>
      </c>
      <c r="E341" s="2" t="s">
        <v>2928</v>
      </c>
      <c r="F341" s="2" t="s">
        <v>3604</v>
      </c>
      <c r="G341" s="2">
        <v>14960860734</v>
      </c>
      <c r="H341" s="2" t="s">
        <v>836</v>
      </c>
      <c r="I341" s="2" t="s">
        <v>837</v>
      </c>
      <c r="J341" s="3">
        <v>42012</v>
      </c>
      <c r="K341" s="2" t="s">
        <v>14</v>
      </c>
      <c r="L341" s="2" t="s">
        <v>1704</v>
      </c>
      <c r="M341" s="2" t="s">
        <v>1484</v>
      </c>
      <c r="N341" s="2">
        <v>0</v>
      </c>
      <c r="O341" s="2">
        <v>0</v>
      </c>
      <c r="P341" s="2">
        <v>0</v>
      </c>
      <c r="Q341" s="2">
        <v>1</v>
      </c>
      <c r="R341" s="2">
        <v>0</v>
      </c>
      <c r="S341" s="2">
        <v>0</v>
      </c>
    </row>
    <row r="342" spans="1:19" ht="51.75" x14ac:dyDescent="0.25">
      <c r="A342" s="2">
        <v>17521017</v>
      </c>
      <c r="B342" s="2" t="s">
        <v>10</v>
      </c>
      <c r="C342" s="2" t="s">
        <v>3119</v>
      </c>
      <c r="D342" s="2" t="s">
        <v>229</v>
      </c>
      <c r="E342" s="2" t="s">
        <v>2929</v>
      </c>
      <c r="F342" s="2" t="s">
        <v>3605</v>
      </c>
      <c r="G342" s="2">
        <v>27091983302</v>
      </c>
      <c r="H342" s="2" t="s">
        <v>838</v>
      </c>
      <c r="I342" s="2" t="s">
        <v>839</v>
      </c>
      <c r="J342" s="3">
        <v>42929</v>
      </c>
      <c r="K342" s="2" t="s">
        <v>14</v>
      </c>
      <c r="L342" s="2" t="s">
        <v>1705</v>
      </c>
      <c r="M342" s="2" t="s">
        <v>1484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1</v>
      </c>
    </row>
    <row r="343" spans="1:19" ht="26.25" x14ac:dyDescent="0.25">
      <c r="A343" s="2">
        <v>16513022</v>
      </c>
      <c r="B343" s="2" t="s">
        <v>10</v>
      </c>
      <c r="C343" s="2" t="s">
        <v>3128</v>
      </c>
      <c r="D343" s="2" t="s">
        <v>45</v>
      </c>
      <c r="E343" s="2" t="s">
        <v>2930</v>
      </c>
      <c r="F343" s="2" t="s">
        <v>3606</v>
      </c>
      <c r="G343" s="2">
        <v>25811338562</v>
      </c>
      <c r="H343" s="2" t="s">
        <v>840</v>
      </c>
      <c r="I343" s="2" t="s">
        <v>841</v>
      </c>
      <c r="J343" s="3">
        <v>42586</v>
      </c>
      <c r="K343" s="2" t="s">
        <v>14</v>
      </c>
      <c r="L343" s="2" t="s">
        <v>3219</v>
      </c>
      <c r="M343" s="2" t="s">
        <v>1484</v>
      </c>
      <c r="N343" s="2">
        <v>0</v>
      </c>
      <c r="O343" s="2">
        <v>0</v>
      </c>
      <c r="P343" s="2">
        <v>0</v>
      </c>
      <c r="Q343" s="2">
        <v>0</v>
      </c>
      <c r="R343" s="2">
        <v>1</v>
      </c>
      <c r="S343" s="2">
        <v>0</v>
      </c>
    </row>
    <row r="344" spans="1:19" ht="39" x14ac:dyDescent="0.25">
      <c r="A344" s="2">
        <v>16535007</v>
      </c>
      <c r="B344" s="2" t="s">
        <v>10</v>
      </c>
      <c r="C344" s="2" t="s">
        <v>32</v>
      </c>
      <c r="D344" s="2" t="s">
        <v>45</v>
      </c>
      <c r="E344" s="2" t="s">
        <v>2931</v>
      </c>
      <c r="F344" s="2" t="s">
        <v>3607</v>
      </c>
      <c r="G344" s="2">
        <v>34052261294</v>
      </c>
      <c r="H344" s="2" t="s">
        <v>842</v>
      </c>
      <c r="I344" s="2" t="s">
        <v>843</v>
      </c>
      <c r="J344" s="3">
        <v>42584</v>
      </c>
      <c r="K344" s="2" t="s">
        <v>14</v>
      </c>
      <c r="L344" s="2" t="s">
        <v>1674</v>
      </c>
      <c r="M344" s="2" t="s">
        <v>1484</v>
      </c>
      <c r="N344" s="2">
        <v>0</v>
      </c>
      <c r="O344" s="2">
        <v>0</v>
      </c>
      <c r="P344" s="2">
        <v>1</v>
      </c>
      <c r="Q344" s="2">
        <v>0</v>
      </c>
      <c r="R344" s="2">
        <v>0</v>
      </c>
      <c r="S344" s="2">
        <v>0</v>
      </c>
    </row>
    <row r="345" spans="1:19" ht="26.25" x14ac:dyDescent="0.25">
      <c r="A345" s="2">
        <v>12570106</v>
      </c>
      <c r="B345" s="2" t="s">
        <v>10</v>
      </c>
      <c r="C345" s="2" t="s">
        <v>3127</v>
      </c>
      <c r="D345" s="2" t="s">
        <v>3127</v>
      </c>
      <c r="E345" s="2" t="s">
        <v>2932</v>
      </c>
      <c r="F345" s="2" t="s">
        <v>3608</v>
      </c>
      <c r="G345" s="2">
        <v>12150116906</v>
      </c>
      <c r="H345" s="2" t="s">
        <v>844</v>
      </c>
      <c r="I345" s="2" t="s">
        <v>845</v>
      </c>
      <c r="J345" s="3">
        <v>41313</v>
      </c>
      <c r="K345" s="2" t="s">
        <v>14</v>
      </c>
      <c r="L345" s="2" t="s">
        <v>1706</v>
      </c>
      <c r="M345" s="2" t="s">
        <v>1484</v>
      </c>
      <c r="N345" s="2">
        <v>0</v>
      </c>
      <c r="O345" s="2">
        <v>0</v>
      </c>
      <c r="P345" s="2">
        <v>0</v>
      </c>
      <c r="Q345" s="2">
        <v>0</v>
      </c>
      <c r="R345" s="2">
        <v>1</v>
      </c>
      <c r="S345" s="2">
        <v>0</v>
      </c>
    </row>
    <row r="346" spans="1:19" ht="26.25" x14ac:dyDescent="0.25">
      <c r="A346" s="2">
        <v>16533012</v>
      </c>
      <c r="B346" s="2" t="s">
        <v>10</v>
      </c>
      <c r="C346" s="2" t="s">
        <v>32</v>
      </c>
      <c r="D346" s="2" t="s">
        <v>132</v>
      </c>
      <c r="E346" s="2" t="s">
        <v>2933</v>
      </c>
      <c r="F346" s="2" t="s">
        <v>3609</v>
      </c>
      <c r="G346" s="2">
        <v>17035794736</v>
      </c>
      <c r="H346" s="2" t="s">
        <v>846</v>
      </c>
      <c r="I346" s="2" t="s">
        <v>847</v>
      </c>
      <c r="J346" s="3">
        <v>42614</v>
      </c>
      <c r="K346" s="2" t="s">
        <v>14</v>
      </c>
      <c r="L346" s="2" t="s">
        <v>3164</v>
      </c>
      <c r="M346" s="2" t="s">
        <v>1484</v>
      </c>
      <c r="N346" s="2">
        <v>0</v>
      </c>
      <c r="O346" s="2">
        <v>0</v>
      </c>
      <c r="P346" s="2">
        <v>0</v>
      </c>
      <c r="Q346" s="2">
        <v>0</v>
      </c>
      <c r="R346" s="2">
        <v>1</v>
      </c>
      <c r="S346" s="2">
        <v>0</v>
      </c>
    </row>
    <row r="347" spans="1:19" ht="39" x14ac:dyDescent="0.25">
      <c r="A347" s="2">
        <v>14518003</v>
      </c>
      <c r="B347" s="2" t="s">
        <v>10</v>
      </c>
      <c r="C347" s="2" t="s">
        <v>167</v>
      </c>
      <c r="D347" s="2" t="s">
        <v>593</v>
      </c>
      <c r="E347" s="2" t="s">
        <v>2934</v>
      </c>
      <c r="F347" s="2" t="s">
        <v>3610</v>
      </c>
      <c r="G347" s="2">
        <v>17594300942</v>
      </c>
      <c r="H347" s="2" t="s">
        <v>848</v>
      </c>
      <c r="I347" s="2" t="s">
        <v>849</v>
      </c>
      <c r="J347" s="3">
        <v>41827</v>
      </c>
      <c r="K347" s="2" t="s">
        <v>14</v>
      </c>
      <c r="L347" s="2" t="s">
        <v>1707</v>
      </c>
      <c r="M347" s="2" t="s">
        <v>1484</v>
      </c>
      <c r="N347" s="2">
        <v>0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</row>
    <row r="348" spans="1:19" ht="26.25" x14ac:dyDescent="0.25">
      <c r="A348" s="2">
        <v>16530011</v>
      </c>
      <c r="B348" s="2" t="s">
        <v>10</v>
      </c>
      <c r="C348" s="2" t="s">
        <v>32</v>
      </c>
      <c r="D348" s="2" t="s">
        <v>48</v>
      </c>
      <c r="E348" s="2" t="s">
        <v>2935</v>
      </c>
      <c r="F348" s="2" t="s">
        <v>3611</v>
      </c>
      <c r="G348" s="2">
        <v>37571272352</v>
      </c>
      <c r="H348" s="2" t="s">
        <v>850</v>
      </c>
      <c r="I348" s="2" t="s">
        <v>851</v>
      </c>
      <c r="J348" s="3">
        <v>42585</v>
      </c>
      <c r="K348" s="2" t="s">
        <v>14</v>
      </c>
      <c r="L348" s="2" t="s">
        <v>1495</v>
      </c>
      <c r="M348" s="2" t="s">
        <v>1484</v>
      </c>
      <c r="N348" s="2">
        <v>0</v>
      </c>
      <c r="O348" s="2">
        <v>0</v>
      </c>
      <c r="P348" s="2">
        <v>0</v>
      </c>
      <c r="Q348" s="2">
        <v>0</v>
      </c>
      <c r="R348" s="2">
        <v>1</v>
      </c>
      <c r="S348" s="2">
        <v>0</v>
      </c>
    </row>
    <row r="349" spans="1:19" ht="39" x14ac:dyDescent="0.25">
      <c r="A349" s="2">
        <v>16534008</v>
      </c>
      <c r="B349" s="2" t="s">
        <v>10</v>
      </c>
      <c r="C349" s="2" t="s">
        <v>32</v>
      </c>
      <c r="D349" s="2" t="s">
        <v>196</v>
      </c>
      <c r="E349" s="2" t="s">
        <v>2936</v>
      </c>
      <c r="F349" s="2" t="s">
        <v>3612</v>
      </c>
      <c r="G349" s="2">
        <v>36235587818</v>
      </c>
      <c r="H349" s="2" t="s">
        <v>852</v>
      </c>
      <c r="I349" s="2" t="s">
        <v>853</v>
      </c>
      <c r="J349" s="3">
        <v>42585</v>
      </c>
      <c r="K349" s="2" t="s">
        <v>14</v>
      </c>
      <c r="L349" s="2" t="s">
        <v>1565</v>
      </c>
      <c r="M349" s="2" t="s">
        <v>1484</v>
      </c>
      <c r="N349" s="2">
        <v>0</v>
      </c>
      <c r="O349" s="2">
        <v>0</v>
      </c>
      <c r="P349" s="2">
        <v>0</v>
      </c>
      <c r="Q349" s="2">
        <v>0</v>
      </c>
      <c r="R349" s="2">
        <v>1</v>
      </c>
      <c r="S349" s="2">
        <v>0</v>
      </c>
    </row>
    <row r="350" spans="1:19" ht="51.75" x14ac:dyDescent="0.25">
      <c r="A350" s="2">
        <v>13501061</v>
      </c>
      <c r="B350" s="2" t="s">
        <v>66</v>
      </c>
      <c r="C350" s="2" t="s">
        <v>3130</v>
      </c>
      <c r="D350" s="2" t="s">
        <v>3130</v>
      </c>
      <c r="E350" s="2" t="s">
        <v>2937</v>
      </c>
      <c r="F350" s="2" t="s">
        <v>3613</v>
      </c>
      <c r="G350" s="2">
        <v>99481454600</v>
      </c>
      <c r="H350" s="2" t="s">
        <v>854</v>
      </c>
      <c r="I350" s="2" t="s">
        <v>855</v>
      </c>
      <c r="J350" s="3">
        <v>41541</v>
      </c>
      <c r="K350" s="2" t="s">
        <v>14</v>
      </c>
      <c r="L350" s="2" t="s">
        <v>1708</v>
      </c>
      <c r="M350" s="2" t="s">
        <v>1484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1</v>
      </c>
    </row>
    <row r="351" spans="1:19" ht="26.25" x14ac:dyDescent="0.25">
      <c r="A351" s="2">
        <v>16549011</v>
      </c>
      <c r="B351" s="2" t="s">
        <v>10</v>
      </c>
      <c r="C351" s="2" t="s">
        <v>3117</v>
      </c>
      <c r="D351" s="2" t="s">
        <v>11</v>
      </c>
      <c r="E351" s="2" t="s">
        <v>856</v>
      </c>
      <c r="F351" s="2" t="s">
        <v>3614</v>
      </c>
      <c r="G351" s="2">
        <v>51010811186</v>
      </c>
      <c r="H351" s="2" t="s">
        <v>857</v>
      </c>
      <c r="I351" s="2" t="s">
        <v>858</v>
      </c>
      <c r="J351" s="3">
        <v>42585</v>
      </c>
      <c r="K351" s="2" t="s">
        <v>14</v>
      </c>
      <c r="L351" s="2" t="s">
        <v>3220</v>
      </c>
      <c r="M351" s="2" t="s">
        <v>1484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</row>
    <row r="352" spans="1:19" ht="26.25" x14ac:dyDescent="0.25">
      <c r="A352" s="2">
        <v>9558108</v>
      </c>
      <c r="B352" s="2" t="s">
        <v>10</v>
      </c>
      <c r="C352" s="2" t="s">
        <v>209</v>
      </c>
      <c r="D352" s="2" t="s">
        <v>281</v>
      </c>
      <c r="E352" s="2" t="s">
        <v>2938</v>
      </c>
      <c r="F352" s="2" t="s">
        <v>3615</v>
      </c>
      <c r="G352" s="2">
        <v>18940730956</v>
      </c>
      <c r="H352" s="2" t="s">
        <v>859</v>
      </c>
      <c r="I352" s="2" t="s">
        <v>860</v>
      </c>
      <c r="J352" s="3">
        <v>40228</v>
      </c>
      <c r="K352" s="2" t="s">
        <v>14</v>
      </c>
      <c r="L352" s="2" t="s">
        <v>3221</v>
      </c>
      <c r="M352" s="2" t="s">
        <v>1486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</row>
    <row r="353" spans="1:19" ht="26.25" x14ac:dyDescent="0.25">
      <c r="A353" s="2">
        <v>15534018</v>
      </c>
      <c r="B353" s="2" t="s">
        <v>10</v>
      </c>
      <c r="C353" s="2" t="s">
        <v>32</v>
      </c>
      <c r="D353" s="2" t="s">
        <v>196</v>
      </c>
      <c r="E353" s="2" t="s">
        <v>861</v>
      </c>
      <c r="F353" s="2" t="s">
        <v>3616</v>
      </c>
      <c r="G353" s="2">
        <v>22727386670</v>
      </c>
      <c r="H353" s="2" t="s">
        <v>862</v>
      </c>
      <c r="I353" s="2" t="s">
        <v>863</v>
      </c>
      <c r="J353" s="3">
        <v>42192</v>
      </c>
      <c r="K353" s="2" t="s">
        <v>14</v>
      </c>
      <c r="L353" s="2" t="s">
        <v>3222</v>
      </c>
      <c r="M353" s="2" t="s">
        <v>1484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0</v>
      </c>
    </row>
    <row r="354" spans="1:19" ht="39" x14ac:dyDescent="0.25">
      <c r="A354" s="2">
        <v>15546012</v>
      </c>
      <c r="B354" s="2" t="s">
        <v>10</v>
      </c>
      <c r="C354" s="2" t="s">
        <v>3122</v>
      </c>
      <c r="D354" s="2" t="s">
        <v>3131</v>
      </c>
      <c r="E354" s="2" t="s">
        <v>2939</v>
      </c>
      <c r="F354" s="2" t="s">
        <v>3617</v>
      </c>
      <c r="G354" s="2">
        <v>12058948388</v>
      </c>
      <c r="H354" s="2" t="s">
        <v>864</v>
      </c>
      <c r="I354" s="2" t="s">
        <v>865</v>
      </c>
      <c r="J354" s="3">
        <v>42244</v>
      </c>
      <c r="K354" s="2" t="s">
        <v>14</v>
      </c>
      <c r="L354" s="2" t="s">
        <v>1709</v>
      </c>
      <c r="M354" s="2" t="s">
        <v>1484</v>
      </c>
      <c r="N354" s="2">
        <v>0</v>
      </c>
      <c r="O354" s="2">
        <v>0</v>
      </c>
      <c r="P354" s="2">
        <v>0</v>
      </c>
      <c r="Q354" s="2">
        <v>0</v>
      </c>
      <c r="R354" s="2">
        <v>1</v>
      </c>
      <c r="S354" s="2">
        <v>0</v>
      </c>
    </row>
    <row r="355" spans="1:19" ht="26.25" x14ac:dyDescent="0.25">
      <c r="A355" s="2">
        <v>15558003</v>
      </c>
      <c r="B355" s="2" t="s">
        <v>10</v>
      </c>
      <c r="C355" s="2" t="s">
        <v>209</v>
      </c>
      <c r="D355" s="2" t="s">
        <v>281</v>
      </c>
      <c r="E355" s="2" t="s">
        <v>2940</v>
      </c>
      <c r="F355" s="2" t="s">
        <v>3618</v>
      </c>
      <c r="G355" s="2">
        <v>49636524368</v>
      </c>
      <c r="H355" s="2" t="s">
        <v>866</v>
      </c>
      <c r="I355" s="2" t="s">
        <v>867</v>
      </c>
      <c r="J355" s="3">
        <v>42185</v>
      </c>
      <c r="K355" s="2" t="s">
        <v>14</v>
      </c>
      <c r="L355" s="2" t="s">
        <v>1704</v>
      </c>
      <c r="M355" s="2" t="s">
        <v>1484</v>
      </c>
      <c r="N355" s="2">
        <v>0</v>
      </c>
      <c r="O355" s="2">
        <v>0</v>
      </c>
      <c r="P355" s="2">
        <v>1</v>
      </c>
      <c r="Q355" s="2">
        <v>0</v>
      </c>
      <c r="R355" s="2">
        <v>0</v>
      </c>
      <c r="S355" s="2">
        <v>0</v>
      </c>
    </row>
    <row r="356" spans="1:19" ht="39" x14ac:dyDescent="0.25">
      <c r="A356" s="2">
        <v>16506019</v>
      </c>
      <c r="B356" s="2" t="s">
        <v>10</v>
      </c>
      <c r="C356" s="2" t="s">
        <v>3122</v>
      </c>
      <c r="D356" s="2" t="s">
        <v>3122</v>
      </c>
      <c r="E356" s="2" t="s">
        <v>868</v>
      </c>
      <c r="F356" s="2" t="s">
        <v>3619</v>
      </c>
      <c r="G356" s="2">
        <v>20246259246</v>
      </c>
      <c r="H356" s="2" t="s">
        <v>869</v>
      </c>
      <c r="I356" s="2" t="s">
        <v>870</v>
      </c>
      <c r="J356" s="3">
        <v>42587</v>
      </c>
      <c r="K356" s="2" t="s">
        <v>14</v>
      </c>
      <c r="L356" s="2" t="s">
        <v>3223</v>
      </c>
      <c r="M356" s="2" t="s">
        <v>1484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</row>
    <row r="357" spans="1:19" ht="26.25" x14ac:dyDescent="0.25">
      <c r="A357" s="2">
        <v>12567012</v>
      </c>
      <c r="B357" s="2" t="s">
        <v>10</v>
      </c>
      <c r="C357" s="2" t="s">
        <v>3121</v>
      </c>
      <c r="D357" s="2" t="s">
        <v>3121</v>
      </c>
      <c r="E357" s="2" t="s">
        <v>2941</v>
      </c>
      <c r="F357" s="2" t="s">
        <v>3620</v>
      </c>
      <c r="G357" s="2">
        <v>18173518598</v>
      </c>
      <c r="H357" s="2" t="s">
        <v>871</v>
      </c>
      <c r="I357" s="2" t="s">
        <v>872</v>
      </c>
      <c r="J357" s="3">
        <v>41164</v>
      </c>
      <c r="K357" s="2" t="s">
        <v>14</v>
      </c>
      <c r="L357" s="2" t="s">
        <v>1539</v>
      </c>
      <c r="M357" s="2" t="s">
        <v>1486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ht="39" x14ac:dyDescent="0.25">
      <c r="A358" s="2">
        <v>13535004</v>
      </c>
      <c r="B358" s="2" t="s">
        <v>10</v>
      </c>
      <c r="C358" s="2" t="s">
        <v>32</v>
      </c>
      <c r="D358" s="2" t="s">
        <v>45</v>
      </c>
      <c r="E358" s="2" t="s">
        <v>873</v>
      </c>
      <c r="F358" s="2" t="s">
        <v>3621</v>
      </c>
      <c r="G358" s="2">
        <v>52408558478</v>
      </c>
      <c r="H358" s="2" t="s">
        <v>874</v>
      </c>
      <c r="I358" s="2"/>
      <c r="J358" s="3">
        <v>41459</v>
      </c>
      <c r="K358" s="2" t="s">
        <v>14</v>
      </c>
      <c r="L358" s="2" t="s">
        <v>1710</v>
      </c>
      <c r="M358" s="2" t="s">
        <v>1484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 s="2">
        <v>0</v>
      </c>
    </row>
    <row r="359" spans="1:19" ht="51.75" x14ac:dyDescent="0.25">
      <c r="A359" s="2">
        <v>16534016</v>
      </c>
      <c r="B359" s="2" t="s">
        <v>10</v>
      </c>
      <c r="C359" s="2" t="s">
        <v>32</v>
      </c>
      <c r="D359" s="2" t="s">
        <v>196</v>
      </c>
      <c r="E359" s="2" t="s">
        <v>2942</v>
      </c>
      <c r="F359" s="2" t="s">
        <v>3622</v>
      </c>
      <c r="G359" s="2">
        <v>61768337494</v>
      </c>
      <c r="H359" s="2" t="s">
        <v>875</v>
      </c>
      <c r="I359" s="2" t="s">
        <v>876</v>
      </c>
      <c r="J359" s="3">
        <v>42614</v>
      </c>
      <c r="K359" s="2" t="s">
        <v>14</v>
      </c>
      <c r="L359" s="2" t="s">
        <v>1711</v>
      </c>
      <c r="M359" s="2" t="s">
        <v>1484</v>
      </c>
      <c r="N359" s="2">
        <v>0</v>
      </c>
      <c r="O359" s="2">
        <v>0</v>
      </c>
      <c r="P359" s="2">
        <v>1</v>
      </c>
      <c r="Q359" s="2">
        <v>0</v>
      </c>
      <c r="R359" s="2">
        <v>0</v>
      </c>
      <c r="S359" s="2">
        <v>0</v>
      </c>
    </row>
    <row r="360" spans="1:19" ht="26.25" x14ac:dyDescent="0.25">
      <c r="A360" s="2">
        <v>16547012</v>
      </c>
      <c r="B360" s="2" t="s">
        <v>10</v>
      </c>
      <c r="C360" s="2" t="s">
        <v>3128</v>
      </c>
      <c r="D360" s="2" t="s">
        <v>3129</v>
      </c>
      <c r="E360" s="2" t="s">
        <v>877</v>
      </c>
      <c r="F360" s="2" t="s">
        <v>3623</v>
      </c>
      <c r="G360" s="2">
        <v>20777193668</v>
      </c>
      <c r="H360" s="2" t="s">
        <v>878</v>
      </c>
      <c r="I360" s="2" t="s">
        <v>879</v>
      </c>
      <c r="J360" s="3">
        <v>42779</v>
      </c>
      <c r="K360" s="2" t="s">
        <v>14</v>
      </c>
      <c r="L360" s="2" t="s">
        <v>1712</v>
      </c>
      <c r="M360" s="2" t="s">
        <v>1484</v>
      </c>
      <c r="N360" s="2">
        <v>0</v>
      </c>
      <c r="O360" s="2">
        <v>0</v>
      </c>
      <c r="P360" s="2">
        <v>0</v>
      </c>
      <c r="Q360" s="2">
        <v>0</v>
      </c>
      <c r="R360" s="2">
        <v>1</v>
      </c>
      <c r="S360" s="2">
        <v>0</v>
      </c>
    </row>
    <row r="361" spans="1:19" ht="39" x14ac:dyDescent="0.25">
      <c r="A361" s="2">
        <v>15520032</v>
      </c>
      <c r="B361" s="2" t="s">
        <v>10</v>
      </c>
      <c r="C361" s="2" t="s">
        <v>3118</v>
      </c>
      <c r="D361" s="2" t="s">
        <v>3118</v>
      </c>
      <c r="E361" s="2" t="s">
        <v>880</v>
      </c>
      <c r="F361" s="2" t="s">
        <v>3624</v>
      </c>
      <c r="G361" s="2">
        <v>13333319152</v>
      </c>
      <c r="H361" s="2" t="s">
        <v>881</v>
      </c>
      <c r="I361" s="2" t="s">
        <v>882</v>
      </c>
      <c r="J361" s="3">
        <v>42389</v>
      </c>
      <c r="K361" s="2" t="s">
        <v>14</v>
      </c>
      <c r="L361" s="2" t="s">
        <v>1713</v>
      </c>
      <c r="M361" s="2" t="s">
        <v>1484</v>
      </c>
      <c r="N361" s="2">
        <v>0</v>
      </c>
      <c r="O361" s="2">
        <v>0</v>
      </c>
      <c r="P361" s="2">
        <v>1</v>
      </c>
      <c r="Q361" s="2">
        <v>0</v>
      </c>
      <c r="R361" s="2">
        <v>0</v>
      </c>
      <c r="S361" s="2">
        <v>0</v>
      </c>
    </row>
    <row r="362" spans="1:19" ht="26.25" x14ac:dyDescent="0.25">
      <c r="A362" s="2">
        <v>13522025</v>
      </c>
      <c r="B362" s="2" t="s">
        <v>10</v>
      </c>
      <c r="C362" s="2" t="s">
        <v>3119</v>
      </c>
      <c r="D362" s="2" t="s">
        <v>449</v>
      </c>
      <c r="E362" s="2" t="s">
        <v>3143</v>
      </c>
      <c r="F362" s="2" t="s">
        <v>3625</v>
      </c>
      <c r="G362" s="2">
        <v>26317069622</v>
      </c>
      <c r="H362" s="2" t="s">
        <v>883</v>
      </c>
      <c r="I362" s="2" t="s">
        <v>884</v>
      </c>
      <c r="J362" s="3">
        <v>41652</v>
      </c>
      <c r="K362" s="2" t="s">
        <v>14</v>
      </c>
      <c r="L362" s="2" t="s">
        <v>1714</v>
      </c>
      <c r="M362" s="2" t="s">
        <v>1484</v>
      </c>
      <c r="N362" s="2">
        <v>0</v>
      </c>
      <c r="O362" s="2">
        <v>0</v>
      </c>
      <c r="P362" s="2">
        <v>0</v>
      </c>
      <c r="Q362" s="2">
        <v>0</v>
      </c>
      <c r="R362" s="2">
        <v>1</v>
      </c>
      <c r="S362" s="2">
        <v>0</v>
      </c>
    </row>
    <row r="363" spans="1:19" ht="26.25" x14ac:dyDescent="0.25">
      <c r="A363" s="2">
        <v>15549024</v>
      </c>
      <c r="B363" s="2" t="s">
        <v>10</v>
      </c>
      <c r="C363" s="2" t="s">
        <v>3117</v>
      </c>
      <c r="D363" s="2" t="s">
        <v>11</v>
      </c>
      <c r="E363" s="2" t="s">
        <v>885</v>
      </c>
      <c r="F363" s="2" t="s">
        <v>3626</v>
      </c>
      <c r="G363" s="2">
        <v>38650042828</v>
      </c>
      <c r="H363" s="2" t="s">
        <v>886</v>
      </c>
      <c r="I363" s="2" t="s">
        <v>887</v>
      </c>
      <c r="J363" s="3">
        <v>42244</v>
      </c>
      <c r="K363" s="2" t="s">
        <v>14</v>
      </c>
      <c r="L363" s="2" t="s">
        <v>3224</v>
      </c>
      <c r="M363" s="2" t="s">
        <v>1484</v>
      </c>
      <c r="N363" s="2">
        <v>0</v>
      </c>
      <c r="O363" s="2">
        <v>0</v>
      </c>
      <c r="P363" s="2">
        <v>0</v>
      </c>
      <c r="Q363" s="2">
        <v>0</v>
      </c>
      <c r="R363" s="2">
        <v>1</v>
      </c>
      <c r="S363" s="2">
        <v>0</v>
      </c>
    </row>
    <row r="364" spans="1:19" ht="26.25" x14ac:dyDescent="0.25">
      <c r="A364" s="2">
        <v>16523001</v>
      </c>
      <c r="B364" s="2" t="s">
        <v>10</v>
      </c>
      <c r="C364" s="2" t="s">
        <v>3119</v>
      </c>
      <c r="D364" s="2" t="s">
        <v>129</v>
      </c>
      <c r="E364" s="2" t="s">
        <v>2943</v>
      </c>
      <c r="F364" s="2" t="s">
        <v>3627</v>
      </c>
      <c r="G364" s="2">
        <v>43861595056</v>
      </c>
      <c r="H364" s="2" t="s">
        <v>888</v>
      </c>
      <c r="I364" s="2" t="s">
        <v>889</v>
      </c>
      <c r="J364" s="3">
        <v>42583</v>
      </c>
      <c r="K364" s="2" t="s">
        <v>14</v>
      </c>
      <c r="L364" s="2" t="s">
        <v>1715</v>
      </c>
      <c r="M364" s="2" t="s">
        <v>1484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s="2">
        <v>0</v>
      </c>
    </row>
    <row r="365" spans="1:19" ht="26.25" x14ac:dyDescent="0.25">
      <c r="A365" s="2">
        <v>13550025</v>
      </c>
      <c r="B365" s="2" t="s">
        <v>10</v>
      </c>
      <c r="C365" s="2" t="s">
        <v>3120</v>
      </c>
      <c r="D365" s="2" t="s">
        <v>22</v>
      </c>
      <c r="E365" s="2" t="s">
        <v>890</v>
      </c>
      <c r="F365" s="2" t="s">
        <v>3628</v>
      </c>
      <c r="G365" s="2">
        <v>41755544982</v>
      </c>
      <c r="H365" s="2" t="s">
        <v>891</v>
      </c>
      <c r="I365" s="2" t="s">
        <v>892</v>
      </c>
      <c r="J365" s="3">
        <v>41653</v>
      </c>
      <c r="K365" s="2" t="s">
        <v>14</v>
      </c>
      <c r="L365" s="2" t="s">
        <v>1700</v>
      </c>
      <c r="M365" s="2" t="s">
        <v>1484</v>
      </c>
      <c r="N365" s="2">
        <v>0</v>
      </c>
      <c r="O365" s="2">
        <v>0</v>
      </c>
      <c r="P365" s="2">
        <v>0</v>
      </c>
      <c r="Q365" s="2">
        <v>0</v>
      </c>
      <c r="R365" s="2">
        <v>1</v>
      </c>
      <c r="S365" s="2">
        <v>0</v>
      </c>
    </row>
    <row r="366" spans="1:19" ht="26.25" x14ac:dyDescent="0.25">
      <c r="A366" s="2">
        <v>16505026</v>
      </c>
      <c r="B366" s="2" t="s">
        <v>10</v>
      </c>
      <c r="C366" s="2" t="s">
        <v>3123</v>
      </c>
      <c r="D366" s="2" t="s">
        <v>70</v>
      </c>
      <c r="E366" s="2" t="s">
        <v>893</v>
      </c>
      <c r="F366" s="2" t="s">
        <v>3629</v>
      </c>
      <c r="G366" s="2">
        <v>25736541238</v>
      </c>
      <c r="H366" s="2" t="s">
        <v>894</v>
      </c>
      <c r="I366" s="2" t="s">
        <v>895</v>
      </c>
      <c r="J366" s="3">
        <v>42585</v>
      </c>
      <c r="K366" s="2" t="s">
        <v>14</v>
      </c>
      <c r="L366" s="2" t="s">
        <v>1716</v>
      </c>
      <c r="M366" s="2" t="s">
        <v>1484</v>
      </c>
      <c r="N366" s="2">
        <v>0</v>
      </c>
      <c r="O366" s="2">
        <v>0</v>
      </c>
      <c r="P366" s="2">
        <v>0</v>
      </c>
      <c r="Q366" s="2">
        <v>0</v>
      </c>
      <c r="R366" s="2">
        <v>1</v>
      </c>
      <c r="S366" s="2">
        <v>0</v>
      </c>
    </row>
    <row r="367" spans="1:19" ht="39" x14ac:dyDescent="0.25">
      <c r="A367" s="2">
        <v>14512006</v>
      </c>
      <c r="B367" s="2" t="s">
        <v>10</v>
      </c>
      <c r="C367" s="2" t="s">
        <v>3128</v>
      </c>
      <c r="D367" s="2" t="s">
        <v>171</v>
      </c>
      <c r="E367" s="2" t="s">
        <v>2944</v>
      </c>
      <c r="F367" s="2" t="s">
        <v>3630</v>
      </c>
      <c r="G367" s="2">
        <v>20986792126</v>
      </c>
      <c r="H367" s="2" t="s">
        <v>896</v>
      </c>
      <c r="I367" s="2" t="s">
        <v>897</v>
      </c>
      <c r="J367" s="3">
        <v>42012</v>
      </c>
      <c r="K367" s="2" t="s">
        <v>14</v>
      </c>
      <c r="L367" s="2" t="s">
        <v>3166</v>
      </c>
      <c r="M367" s="2" t="s">
        <v>1484</v>
      </c>
      <c r="N367" s="2">
        <v>0</v>
      </c>
      <c r="O367" s="2">
        <v>0</v>
      </c>
      <c r="P367" s="2">
        <v>0</v>
      </c>
      <c r="Q367" s="2">
        <v>0</v>
      </c>
      <c r="R367" s="2">
        <v>1</v>
      </c>
      <c r="S367" s="2">
        <v>0</v>
      </c>
    </row>
    <row r="368" spans="1:19" ht="39" x14ac:dyDescent="0.25">
      <c r="A368" s="2">
        <v>15537005</v>
      </c>
      <c r="B368" s="2" t="s">
        <v>10</v>
      </c>
      <c r="C368" s="2" t="s">
        <v>209</v>
      </c>
      <c r="D368" s="2" t="s">
        <v>535</v>
      </c>
      <c r="E368" s="2" t="s">
        <v>898</v>
      </c>
      <c r="F368" s="2" t="s">
        <v>3631</v>
      </c>
      <c r="G368" s="2">
        <v>43612431510</v>
      </c>
      <c r="H368" s="2" t="s">
        <v>899</v>
      </c>
      <c r="I368" s="2" t="s">
        <v>900</v>
      </c>
      <c r="J368" s="3">
        <v>42254</v>
      </c>
      <c r="K368" s="2" t="s">
        <v>14</v>
      </c>
      <c r="L368" s="2" t="s">
        <v>1717</v>
      </c>
      <c r="M368" s="2" t="s">
        <v>1484</v>
      </c>
      <c r="N368" s="2">
        <v>0</v>
      </c>
      <c r="O368" s="2">
        <v>1</v>
      </c>
      <c r="P368" s="2">
        <v>0</v>
      </c>
      <c r="Q368" s="2">
        <v>0</v>
      </c>
      <c r="R368" s="2">
        <v>0</v>
      </c>
      <c r="S368" s="2">
        <v>0</v>
      </c>
    </row>
    <row r="369" spans="1:19" ht="26.25" x14ac:dyDescent="0.25">
      <c r="A369" s="2">
        <v>8561002</v>
      </c>
      <c r="B369" s="2" t="s">
        <v>10</v>
      </c>
      <c r="C369" s="2" t="s">
        <v>32</v>
      </c>
      <c r="D369" s="2" t="s">
        <v>42</v>
      </c>
      <c r="E369" s="2" t="s">
        <v>2945</v>
      </c>
      <c r="F369" s="2" t="s">
        <v>3632</v>
      </c>
      <c r="G369" s="2">
        <v>23125305102</v>
      </c>
      <c r="H369" s="2" t="s">
        <v>901</v>
      </c>
      <c r="I369" s="2" t="s">
        <v>902</v>
      </c>
      <c r="J369" s="3">
        <v>39710</v>
      </c>
      <c r="K369" s="2" t="s">
        <v>14</v>
      </c>
      <c r="L369" s="2" t="s">
        <v>3225</v>
      </c>
      <c r="M369" s="2" t="s">
        <v>1486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ht="26.25" x14ac:dyDescent="0.25">
      <c r="A370" s="2">
        <v>16533011</v>
      </c>
      <c r="B370" s="2" t="s">
        <v>10</v>
      </c>
      <c r="C370" s="2" t="s">
        <v>32</v>
      </c>
      <c r="D370" s="2" t="s">
        <v>132</v>
      </c>
      <c r="E370" s="2" t="s">
        <v>2946</v>
      </c>
      <c r="F370" s="2" t="s">
        <v>3633</v>
      </c>
      <c r="G370" s="2">
        <v>21826005116</v>
      </c>
      <c r="H370" s="2" t="s">
        <v>903</v>
      </c>
      <c r="I370" s="2" t="s">
        <v>904</v>
      </c>
      <c r="J370" s="3">
        <v>42614</v>
      </c>
      <c r="K370" s="2" t="s">
        <v>14</v>
      </c>
      <c r="L370" s="2" t="s">
        <v>3164</v>
      </c>
      <c r="M370" s="2" t="s">
        <v>1484</v>
      </c>
      <c r="N370" s="2">
        <v>0</v>
      </c>
      <c r="O370" s="2">
        <v>0</v>
      </c>
      <c r="P370" s="2">
        <v>1</v>
      </c>
      <c r="Q370" s="2">
        <v>0</v>
      </c>
      <c r="R370" s="2">
        <v>0</v>
      </c>
      <c r="S370" s="2">
        <v>0</v>
      </c>
    </row>
    <row r="371" spans="1:19" ht="51.75" x14ac:dyDescent="0.25">
      <c r="A371" s="2">
        <v>13538002</v>
      </c>
      <c r="B371" s="2" t="s">
        <v>10</v>
      </c>
      <c r="C371" s="2" t="s">
        <v>209</v>
      </c>
      <c r="D371" s="2" t="s">
        <v>905</v>
      </c>
      <c r="E371" s="2" t="s">
        <v>906</v>
      </c>
      <c r="F371" s="2" t="s">
        <v>3634</v>
      </c>
      <c r="G371" s="2">
        <v>15739448382</v>
      </c>
      <c r="H371" s="2" t="s">
        <v>907</v>
      </c>
      <c r="I371" s="2" t="s">
        <v>908</v>
      </c>
      <c r="J371" s="3">
        <v>41460</v>
      </c>
      <c r="K371" s="2" t="s">
        <v>14</v>
      </c>
      <c r="L371" s="2" t="s">
        <v>3226</v>
      </c>
      <c r="M371" s="2" t="s">
        <v>1484</v>
      </c>
      <c r="N371" s="2">
        <v>0</v>
      </c>
      <c r="O371" s="2">
        <v>0</v>
      </c>
      <c r="P371" s="2">
        <v>0</v>
      </c>
      <c r="Q371" s="2">
        <v>0</v>
      </c>
      <c r="R371" s="2">
        <v>1</v>
      </c>
      <c r="S371" s="2">
        <v>0</v>
      </c>
    </row>
    <row r="372" spans="1:19" ht="26.25" x14ac:dyDescent="0.25">
      <c r="A372" s="2">
        <v>11561008</v>
      </c>
      <c r="B372" s="2" t="s">
        <v>10</v>
      </c>
      <c r="C372" s="2" t="s">
        <v>32</v>
      </c>
      <c r="D372" s="2" t="s">
        <v>42</v>
      </c>
      <c r="E372" s="2" t="s">
        <v>2947</v>
      </c>
      <c r="F372" s="2" t="s">
        <v>3635</v>
      </c>
      <c r="G372" s="2">
        <v>45175368470</v>
      </c>
      <c r="H372" s="2" t="s">
        <v>909</v>
      </c>
      <c r="I372" s="2" t="s">
        <v>910</v>
      </c>
      <c r="J372" s="3">
        <v>40806</v>
      </c>
      <c r="K372" s="2" t="s">
        <v>14</v>
      </c>
      <c r="L372" s="2" t="s">
        <v>3227</v>
      </c>
      <c r="M372" s="2" t="s">
        <v>1486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</row>
    <row r="373" spans="1:19" ht="26.25" x14ac:dyDescent="0.25">
      <c r="A373" s="2">
        <v>16536010</v>
      </c>
      <c r="B373" s="2" t="s">
        <v>10</v>
      </c>
      <c r="C373" s="2" t="s">
        <v>32</v>
      </c>
      <c r="D373" s="2" t="s">
        <v>299</v>
      </c>
      <c r="E373" s="2" t="s">
        <v>2948</v>
      </c>
      <c r="F373" s="2" t="s">
        <v>3636</v>
      </c>
      <c r="G373" s="2">
        <v>11300102424</v>
      </c>
      <c r="H373" s="2" t="s">
        <v>911</v>
      </c>
      <c r="I373" s="2" t="s">
        <v>912</v>
      </c>
      <c r="J373" s="3">
        <v>42584</v>
      </c>
      <c r="K373" s="2" t="s">
        <v>14</v>
      </c>
      <c r="L373" s="2" t="s">
        <v>1631</v>
      </c>
      <c r="M373" s="2" t="s">
        <v>1484</v>
      </c>
      <c r="N373" s="2">
        <v>0</v>
      </c>
      <c r="O373" s="2">
        <v>0</v>
      </c>
      <c r="P373" s="2">
        <v>1</v>
      </c>
      <c r="Q373" s="2">
        <v>0</v>
      </c>
      <c r="R373" s="2">
        <v>0</v>
      </c>
      <c r="S373" s="2">
        <v>0</v>
      </c>
    </row>
    <row r="374" spans="1:19" ht="39" x14ac:dyDescent="0.25">
      <c r="A374" s="2">
        <v>12520101</v>
      </c>
      <c r="B374" s="2" t="s">
        <v>10</v>
      </c>
      <c r="C374" s="2" t="s">
        <v>3118</v>
      </c>
      <c r="D374" s="2" t="s">
        <v>3118</v>
      </c>
      <c r="E374" s="2" t="s">
        <v>2949</v>
      </c>
      <c r="F374" s="2" t="s">
        <v>3637</v>
      </c>
      <c r="G374" s="2">
        <v>67564211372</v>
      </c>
      <c r="H374" s="2" t="s">
        <v>913</v>
      </c>
      <c r="I374" s="2" t="s">
        <v>914</v>
      </c>
      <c r="J374" s="3">
        <v>41311</v>
      </c>
      <c r="K374" s="2" t="s">
        <v>14</v>
      </c>
      <c r="L374" s="2" t="s">
        <v>3228</v>
      </c>
      <c r="M374" s="2" t="s">
        <v>1484</v>
      </c>
      <c r="N374" s="2">
        <v>0</v>
      </c>
      <c r="O374" s="2">
        <v>0</v>
      </c>
      <c r="P374" s="2">
        <v>0</v>
      </c>
      <c r="Q374" s="2">
        <v>0</v>
      </c>
      <c r="R374" s="2">
        <v>1</v>
      </c>
      <c r="S374" s="2">
        <v>0</v>
      </c>
    </row>
    <row r="375" spans="1:19" ht="51.75" x14ac:dyDescent="0.25">
      <c r="A375" s="2">
        <v>14532008</v>
      </c>
      <c r="B375" s="2" t="s">
        <v>10</v>
      </c>
      <c r="C375" s="2" t="s">
        <v>32</v>
      </c>
      <c r="D375" s="2" t="s">
        <v>33</v>
      </c>
      <c r="E375" s="2" t="s">
        <v>2950</v>
      </c>
      <c r="F375" s="2" t="s">
        <v>3638</v>
      </c>
      <c r="G375" s="2">
        <v>24373969092</v>
      </c>
      <c r="H375" s="2" t="s">
        <v>915</v>
      </c>
      <c r="I375" s="2"/>
      <c r="J375" s="3">
        <v>41823</v>
      </c>
      <c r="K375" s="2" t="s">
        <v>14</v>
      </c>
      <c r="L375" s="2" t="s">
        <v>1718</v>
      </c>
      <c r="M375" s="2" t="s">
        <v>1484</v>
      </c>
      <c r="N375" s="2">
        <v>0</v>
      </c>
      <c r="O375" s="2">
        <v>0</v>
      </c>
      <c r="P375" s="2">
        <v>0</v>
      </c>
      <c r="Q375" s="2">
        <v>0</v>
      </c>
      <c r="R375" s="2">
        <v>1</v>
      </c>
      <c r="S375" s="2">
        <v>0</v>
      </c>
    </row>
    <row r="376" spans="1:19" ht="39" x14ac:dyDescent="0.25">
      <c r="A376" s="2">
        <v>14532001</v>
      </c>
      <c r="B376" s="2" t="s">
        <v>10</v>
      </c>
      <c r="C376" s="2" t="s">
        <v>32</v>
      </c>
      <c r="D376" s="2" t="s">
        <v>33</v>
      </c>
      <c r="E376" s="2" t="s">
        <v>916</v>
      </c>
      <c r="F376" s="2" t="s">
        <v>3639</v>
      </c>
      <c r="G376" s="2">
        <v>34997091710</v>
      </c>
      <c r="H376" s="2" t="s">
        <v>917</v>
      </c>
      <c r="I376" s="2" t="s">
        <v>918</v>
      </c>
      <c r="J376" s="3">
        <v>41823</v>
      </c>
      <c r="K376" s="2" t="s">
        <v>14</v>
      </c>
      <c r="L376" s="2" t="s">
        <v>1719</v>
      </c>
      <c r="M376" s="2" t="s">
        <v>1484</v>
      </c>
      <c r="N376" s="2">
        <v>0</v>
      </c>
      <c r="O376" s="2">
        <v>0</v>
      </c>
      <c r="P376" s="2">
        <v>0</v>
      </c>
      <c r="Q376" s="2">
        <v>0</v>
      </c>
      <c r="R376" s="2">
        <v>1</v>
      </c>
      <c r="S376" s="2">
        <v>0</v>
      </c>
    </row>
    <row r="377" spans="1:19" ht="26.25" x14ac:dyDescent="0.25">
      <c r="A377" s="2">
        <v>15501052</v>
      </c>
      <c r="B377" s="2" t="s">
        <v>10</v>
      </c>
      <c r="C377" s="2" t="s">
        <v>3130</v>
      </c>
      <c r="D377" s="2" t="s">
        <v>3130</v>
      </c>
      <c r="E377" s="2" t="s">
        <v>2951</v>
      </c>
      <c r="F377" s="2" t="s">
        <v>3640</v>
      </c>
      <c r="G377" s="2">
        <v>32048128828</v>
      </c>
      <c r="H377" s="2" t="s">
        <v>919</v>
      </c>
      <c r="I377" s="2" t="s">
        <v>920</v>
      </c>
      <c r="J377" s="3">
        <v>42389</v>
      </c>
      <c r="K377" s="2" t="s">
        <v>14</v>
      </c>
      <c r="L377" s="2" t="s">
        <v>1720</v>
      </c>
      <c r="M377" s="2" t="s">
        <v>1484</v>
      </c>
      <c r="N377" s="2">
        <v>0</v>
      </c>
      <c r="O377" s="2">
        <v>0</v>
      </c>
      <c r="P377" s="2">
        <v>1</v>
      </c>
      <c r="Q377" s="2">
        <v>0</v>
      </c>
      <c r="R377" s="2">
        <v>0</v>
      </c>
      <c r="S377" s="2">
        <v>0</v>
      </c>
    </row>
    <row r="378" spans="1:19" ht="26.25" x14ac:dyDescent="0.25">
      <c r="A378" s="2">
        <v>12501021</v>
      </c>
      <c r="B378" s="2" t="s">
        <v>10</v>
      </c>
      <c r="C378" s="2" t="s">
        <v>3130</v>
      </c>
      <c r="D378" s="2" t="s">
        <v>3130</v>
      </c>
      <c r="E378" s="2" t="s">
        <v>921</v>
      </c>
      <c r="F378" s="2" t="s">
        <v>3641</v>
      </c>
      <c r="G378" s="2">
        <v>59374478366</v>
      </c>
      <c r="H378" s="2" t="s">
        <v>922</v>
      </c>
      <c r="I378" s="2" t="s">
        <v>923</v>
      </c>
      <c r="J378" s="3">
        <v>41163</v>
      </c>
      <c r="K378" s="2" t="s">
        <v>14</v>
      </c>
      <c r="L378" s="2" t="s">
        <v>3229</v>
      </c>
      <c r="M378" s="2" t="s">
        <v>1486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ht="26.25" x14ac:dyDescent="0.25">
      <c r="A379" s="2">
        <v>13532027</v>
      </c>
      <c r="B379" s="2" t="s">
        <v>10</v>
      </c>
      <c r="C379" s="2" t="s">
        <v>32</v>
      </c>
      <c r="D379" s="2" t="s">
        <v>33</v>
      </c>
      <c r="E379" s="2" t="s">
        <v>924</v>
      </c>
      <c r="F379" s="2" t="s">
        <v>3642</v>
      </c>
      <c r="G379" s="2">
        <v>25094192776</v>
      </c>
      <c r="H379" s="2" t="s">
        <v>925</v>
      </c>
      <c r="I379" s="2" t="s">
        <v>926</v>
      </c>
      <c r="J379" s="3">
        <v>41648</v>
      </c>
      <c r="K379" s="2" t="s">
        <v>14</v>
      </c>
      <c r="L379" s="2" t="s">
        <v>1721</v>
      </c>
      <c r="M379" s="2" t="s">
        <v>1484</v>
      </c>
      <c r="N379" s="2">
        <v>0</v>
      </c>
      <c r="O379" s="2">
        <v>0</v>
      </c>
      <c r="P379" s="2">
        <v>1</v>
      </c>
      <c r="Q379" s="2">
        <v>0</v>
      </c>
      <c r="R379" s="2">
        <v>0</v>
      </c>
      <c r="S379" s="2">
        <v>0</v>
      </c>
    </row>
    <row r="380" spans="1:19" ht="26.25" x14ac:dyDescent="0.25">
      <c r="A380" s="2">
        <v>16565002</v>
      </c>
      <c r="B380" s="2" t="s">
        <v>10</v>
      </c>
      <c r="C380" s="2" t="s">
        <v>105</v>
      </c>
      <c r="D380" s="2" t="s">
        <v>927</v>
      </c>
      <c r="E380" s="2" t="s">
        <v>928</v>
      </c>
      <c r="F380" s="2" t="s">
        <v>3643</v>
      </c>
      <c r="G380" s="2">
        <v>99113525432</v>
      </c>
      <c r="H380" s="2" t="s">
        <v>929</v>
      </c>
      <c r="I380" s="2"/>
      <c r="J380" s="3">
        <v>42670</v>
      </c>
      <c r="K380" s="2" t="s">
        <v>14</v>
      </c>
      <c r="L380" s="2" t="s">
        <v>1601</v>
      </c>
      <c r="M380" s="2" t="s">
        <v>1484</v>
      </c>
      <c r="N380" s="2">
        <v>0</v>
      </c>
      <c r="O380" s="2">
        <v>0</v>
      </c>
      <c r="P380" s="2">
        <v>0</v>
      </c>
      <c r="Q380" s="2">
        <v>0</v>
      </c>
      <c r="R380" s="2">
        <v>1</v>
      </c>
      <c r="S380" s="2">
        <v>0</v>
      </c>
    </row>
    <row r="381" spans="1:19" ht="26.25" x14ac:dyDescent="0.25">
      <c r="A381" s="2">
        <v>16513050</v>
      </c>
      <c r="B381" s="2" t="s">
        <v>10</v>
      </c>
      <c r="C381" s="2" t="s">
        <v>3128</v>
      </c>
      <c r="D381" s="2" t="s">
        <v>45</v>
      </c>
      <c r="E381" s="2" t="s">
        <v>2952</v>
      </c>
      <c r="F381" s="2" t="s">
        <v>3644</v>
      </c>
      <c r="G381" s="2" t="s">
        <v>930</v>
      </c>
      <c r="H381" s="2" t="s">
        <v>931</v>
      </c>
      <c r="I381" s="2"/>
      <c r="J381" s="3">
        <v>42769</v>
      </c>
      <c r="K381" s="2" t="s">
        <v>14</v>
      </c>
      <c r="L381" s="2" t="s">
        <v>3219</v>
      </c>
      <c r="M381" s="2" t="s">
        <v>1484</v>
      </c>
      <c r="N381" s="2">
        <v>0</v>
      </c>
      <c r="O381" s="2">
        <v>0</v>
      </c>
      <c r="P381" s="2">
        <v>0</v>
      </c>
      <c r="Q381" s="2">
        <v>0</v>
      </c>
      <c r="R381" s="2">
        <v>1</v>
      </c>
      <c r="S381" s="2">
        <v>0</v>
      </c>
    </row>
    <row r="382" spans="1:19" ht="26.25" x14ac:dyDescent="0.25">
      <c r="A382" s="2">
        <v>16532013</v>
      </c>
      <c r="B382" s="2" t="s">
        <v>10</v>
      </c>
      <c r="C382" s="2" t="s">
        <v>32</v>
      </c>
      <c r="D382" s="2" t="s">
        <v>33</v>
      </c>
      <c r="E382" s="2" t="s">
        <v>2953</v>
      </c>
      <c r="F382" s="2" t="s">
        <v>3645</v>
      </c>
      <c r="G382" s="2">
        <v>19445602618</v>
      </c>
      <c r="H382" s="2" t="s">
        <v>932</v>
      </c>
      <c r="I382" s="2" t="s">
        <v>933</v>
      </c>
      <c r="J382" s="3">
        <v>42586</v>
      </c>
      <c r="K382" s="2" t="s">
        <v>14</v>
      </c>
      <c r="L382" s="2" t="s">
        <v>1546</v>
      </c>
      <c r="M382" s="2" t="s">
        <v>1484</v>
      </c>
      <c r="N382" s="2">
        <v>0</v>
      </c>
      <c r="O382" s="2">
        <v>0</v>
      </c>
      <c r="P382" s="2">
        <v>1</v>
      </c>
      <c r="Q382" s="2">
        <v>0</v>
      </c>
      <c r="R382" s="2">
        <v>0</v>
      </c>
      <c r="S382" s="2">
        <v>0</v>
      </c>
    </row>
    <row r="383" spans="1:19" ht="26.25" x14ac:dyDescent="0.25">
      <c r="A383" s="2">
        <v>14502008</v>
      </c>
      <c r="B383" s="2" t="s">
        <v>10</v>
      </c>
      <c r="C383" s="2" t="s">
        <v>3132</v>
      </c>
      <c r="D383" s="2" t="s">
        <v>3132</v>
      </c>
      <c r="E383" s="2" t="s">
        <v>2954</v>
      </c>
      <c r="F383" s="2" t="s">
        <v>3646</v>
      </c>
      <c r="G383" s="2">
        <v>68473113306</v>
      </c>
      <c r="H383" s="2" t="s">
        <v>934</v>
      </c>
      <c r="I383" s="2" t="s">
        <v>935</v>
      </c>
      <c r="J383" s="3">
        <v>41879</v>
      </c>
      <c r="K383" s="2" t="s">
        <v>14</v>
      </c>
      <c r="L383" s="2" t="s">
        <v>1722</v>
      </c>
      <c r="M383" s="2" t="s">
        <v>1484</v>
      </c>
      <c r="N383" s="2">
        <v>0</v>
      </c>
      <c r="O383" s="2">
        <v>0</v>
      </c>
      <c r="P383" s="2">
        <v>0</v>
      </c>
      <c r="Q383" s="2">
        <v>0</v>
      </c>
      <c r="R383" s="2">
        <v>1</v>
      </c>
      <c r="S383" s="2">
        <v>0</v>
      </c>
    </row>
    <row r="384" spans="1:19" ht="39" x14ac:dyDescent="0.25">
      <c r="A384" s="2">
        <v>14522027</v>
      </c>
      <c r="B384" s="2" t="s">
        <v>10</v>
      </c>
      <c r="C384" s="2" t="s">
        <v>3119</v>
      </c>
      <c r="D384" s="2" t="s">
        <v>449</v>
      </c>
      <c r="E384" s="2" t="s">
        <v>2955</v>
      </c>
      <c r="F384" s="2" t="s">
        <v>3647</v>
      </c>
      <c r="G384" s="2">
        <v>23266098376</v>
      </c>
      <c r="H384" s="2" t="s">
        <v>936</v>
      </c>
      <c r="I384" s="2" t="s">
        <v>937</v>
      </c>
      <c r="J384" s="3">
        <v>42013</v>
      </c>
      <c r="K384" s="2" t="s">
        <v>14</v>
      </c>
      <c r="L384" s="2" t="s">
        <v>1723</v>
      </c>
      <c r="M384" s="2" t="s">
        <v>1484</v>
      </c>
      <c r="N384" s="2">
        <v>0</v>
      </c>
      <c r="O384" s="2">
        <v>0</v>
      </c>
      <c r="P384" s="2">
        <v>0</v>
      </c>
      <c r="Q384" s="2">
        <v>0</v>
      </c>
      <c r="R384" s="2">
        <v>1</v>
      </c>
      <c r="S384" s="2">
        <v>0</v>
      </c>
    </row>
    <row r="385" spans="1:19" ht="39" x14ac:dyDescent="0.25">
      <c r="A385" s="2">
        <v>16532018</v>
      </c>
      <c r="B385" s="2" t="s">
        <v>10</v>
      </c>
      <c r="C385" s="2" t="s">
        <v>32</v>
      </c>
      <c r="D385" s="2" t="s">
        <v>33</v>
      </c>
      <c r="E385" s="2" t="s">
        <v>2956</v>
      </c>
      <c r="F385" s="2" t="s">
        <v>3648</v>
      </c>
      <c r="G385" s="2">
        <v>38596864188</v>
      </c>
      <c r="H385" s="2" t="s">
        <v>938</v>
      </c>
      <c r="I385" s="2" t="s">
        <v>939</v>
      </c>
      <c r="J385" s="3">
        <v>42614</v>
      </c>
      <c r="K385" s="2" t="s">
        <v>14</v>
      </c>
      <c r="L385" s="2" t="s">
        <v>1574</v>
      </c>
      <c r="M385" s="2" t="s">
        <v>1484</v>
      </c>
      <c r="N385" s="2">
        <v>0</v>
      </c>
      <c r="O385" s="2">
        <v>0</v>
      </c>
      <c r="P385" s="2">
        <v>0</v>
      </c>
      <c r="Q385" s="2">
        <v>0</v>
      </c>
      <c r="R385" s="2">
        <v>1</v>
      </c>
      <c r="S385" s="2">
        <v>0</v>
      </c>
    </row>
    <row r="386" spans="1:19" ht="39" x14ac:dyDescent="0.25">
      <c r="A386" s="2">
        <v>16536026</v>
      </c>
      <c r="B386" s="2" t="s">
        <v>10</v>
      </c>
      <c r="C386" s="2" t="s">
        <v>32</v>
      </c>
      <c r="D386" s="2" t="s">
        <v>299</v>
      </c>
      <c r="E386" s="2" t="s">
        <v>940</v>
      </c>
      <c r="F386" s="2" t="s">
        <v>3649</v>
      </c>
      <c r="G386" s="2">
        <v>37574272298</v>
      </c>
      <c r="H386" s="2" t="s">
        <v>941</v>
      </c>
      <c r="I386" s="2" t="s">
        <v>942</v>
      </c>
      <c r="J386" s="3">
        <v>42614</v>
      </c>
      <c r="K386" s="2" t="s">
        <v>14</v>
      </c>
      <c r="L386" s="2" t="s">
        <v>1572</v>
      </c>
      <c r="M386" s="2" t="s">
        <v>1484</v>
      </c>
      <c r="N386" s="2">
        <v>0</v>
      </c>
      <c r="O386" s="2">
        <v>0</v>
      </c>
      <c r="P386" s="2">
        <v>0</v>
      </c>
      <c r="Q386" s="2">
        <v>0</v>
      </c>
      <c r="R386" s="2">
        <v>1</v>
      </c>
      <c r="S386" s="2">
        <v>0</v>
      </c>
    </row>
    <row r="387" spans="1:19" ht="39" x14ac:dyDescent="0.25">
      <c r="A387" s="2">
        <v>15572005</v>
      </c>
      <c r="B387" s="2" t="s">
        <v>66</v>
      </c>
      <c r="C387" s="2" t="s">
        <v>167</v>
      </c>
      <c r="D387" s="2" t="s">
        <v>384</v>
      </c>
      <c r="E387" s="2" t="s">
        <v>943</v>
      </c>
      <c r="F387" s="2" t="s">
        <v>3650</v>
      </c>
      <c r="G387" s="2">
        <v>99556477978</v>
      </c>
      <c r="H387" s="2" t="s">
        <v>944</v>
      </c>
      <c r="I387" s="2" t="s">
        <v>945</v>
      </c>
      <c r="J387" s="3">
        <v>42404</v>
      </c>
      <c r="K387" s="2" t="s">
        <v>14</v>
      </c>
      <c r="L387" s="2" t="s">
        <v>1724</v>
      </c>
      <c r="M387" s="2" t="s">
        <v>1484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1</v>
      </c>
    </row>
    <row r="388" spans="1:19" ht="26.25" x14ac:dyDescent="0.25">
      <c r="A388" s="2">
        <v>14532003</v>
      </c>
      <c r="B388" s="2" t="s">
        <v>10</v>
      </c>
      <c r="C388" s="2" t="s">
        <v>32</v>
      </c>
      <c r="D388" s="2" t="s">
        <v>33</v>
      </c>
      <c r="E388" s="2" t="s">
        <v>2957</v>
      </c>
      <c r="F388" s="2" t="s">
        <v>3651</v>
      </c>
      <c r="G388" s="2">
        <v>19067087794</v>
      </c>
      <c r="H388" s="2" t="s">
        <v>946</v>
      </c>
      <c r="I388" s="2" t="s">
        <v>947</v>
      </c>
      <c r="J388" s="3">
        <v>41823</v>
      </c>
      <c r="K388" s="2" t="s">
        <v>14</v>
      </c>
      <c r="L388" s="2" t="s">
        <v>1725</v>
      </c>
      <c r="M388" s="2" t="s">
        <v>1484</v>
      </c>
      <c r="N388" s="2">
        <v>0</v>
      </c>
      <c r="O388" s="2">
        <v>0</v>
      </c>
      <c r="P388" s="2">
        <v>1</v>
      </c>
      <c r="Q388" s="2">
        <v>0</v>
      </c>
      <c r="R388" s="2">
        <v>0</v>
      </c>
      <c r="S388" s="2">
        <v>0</v>
      </c>
    </row>
    <row r="389" spans="1:19" ht="39" x14ac:dyDescent="0.25">
      <c r="A389" s="2">
        <v>16508013</v>
      </c>
      <c r="B389" s="2" t="s">
        <v>10</v>
      </c>
      <c r="C389" s="2" t="s">
        <v>3142</v>
      </c>
      <c r="D389" s="2" t="s">
        <v>3142</v>
      </c>
      <c r="E389" s="2" t="s">
        <v>2958</v>
      </c>
      <c r="F389" s="2" t="s">
        <v>3652</v>
      </c>
      <c r="G389" s="2">
        <v>16235584598</v>
      </c>
      <c r="H389" s="2" t="s">
        <v>948</v>
      </c>
      <c r="I389" s="2" t="s">
        <v>949</v>
      </c>
      <c r="J389" s="3">
        <v>42585</v>
      </c>
      <c r="K389" s="2" t="s">
        <v>14</v>
      </c>
      <c r="L389" s="2" t="s">
        <v>1726</v>
      </c>
      <c r="M389" s="2" t="s">
        <v>1484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1</v>
      </c>
    </row>
    <row r="390" spans="1:19" ht="26.25" x14ac:dyDescent="0.25">
      <c r="A390" s="2">
        <v>14530008</v>
      </c>
      <c r="B390" s="2" t="s">
        <v>10</v>
      </c>
      <c r="C390" s="2" t="s">
        <v>32</v>
      </c>
      <c r="D390" s="2" t="s">
        <v>48</v>
      </c>
      <c r="E390" s="2" t="s">
        <v>950</v>
      </c>
      <c r="F390" s="2" t="s">
        <v>3653</v>
      </c>
      <c r="G390" s="2">
        <v>10408681558</v>
      </c>
      <c r="H390" s="2" t="s">
        <v>951</v>
      </c>
      <c r="I390" s="2" t="s">
        <v>952</v>
      </c>
      <c r="J390" s="3">
        <v>41823</v>
      </c>
      <c r="K390" s="2" t="s">
        <v>14</v>
      </c>
      <c r="L390" s="2" t="s">
        <v>1727</v>
      </c>
      <c r="M390" s="2" t="s">
        <v>1484</v>
      </c>
      <c r="N390" s="2">
        <v>0</v>
      </c>
      <c r="O390" s="2">
        <v>0</v>
      </c>
      <c r="P390" s="2">
        <v>1</v>
      </c>
      <c r="Q390" s="2">
        <v>0</v>
      </c>
      <c r="R390" s="2">
        <v>0</v>
      </c>
      <c r="S390" s="2">
        <v>0</v>
      </c>
    </row>
    <row r="391" spans="1:19" ht="26.25" x14ac:dyDescent="0.25">
      <c r="A391" s="2">
        <v>16536004</v>
      </c>
      <c r="B391" s="2" t="s">
        <v>10</v>
      </c>
      <c r="C391" s="2" t="s">
        <v>32</v>
      </c>
      <c r="D391" s="2" t="s">
        <v>299</v>
      </c>
      <c r="E391" s="2" t="s">
        <v>953</v>
      </c>
      <c r="F391" s="2" t="s">
        <v>3654</v>
      </c>
      <c r="G391" s="2">
        <v>20218359684</v>
      </c>
      <c r="H391" s="2" t="s">
        <v>954</v>
      </c>
      <c r="I391" s="2" t="s">
        <v>955</v>
      </c>
      <c r="J391" s="3">
        <v>42584</v>
      </c>
      <c r="K391" s="2" t="s">
        <v>14</v>
      </c>
      <c r="L391" s="2" t="s">
        <v>1631</v>
      </c>
      <c r="M391" s="2" t="s">
        <v>1484</v>
      </c>
      <c r="N391" s="2">
        <v>0</v>
      </c>
      <c r="O391" s="2">
        <v>0</v>
      </c>
      <c r="P391" s="2">
        <v>1</v>
      </c>
      <c r="Q391" s="2">
        <v>0</v>
      </c>
      <c r="R391" s="2">
        <v>0</v>
      </c>
      <c r="S391" s="2">
        <v>0</v>
      </c>
    </row>
    <row r="392" spans="1:19" ht="26.25" x14ac:dyDescent="0.25">
      <c r="A392" s="2">
        <v>16536013</v>
      </c>
      <c r="B392" s="2" t="s">
        <v>10</v>
      </c>
      <c r="C392" s="2" t="s">
        <v>32</v>
      </c>
      <c r="D392" s="2" t="s">
        <v>299</v>
      </c>
      <c r="E392" s="2" t="s">
        <v>956</v>
      </c>
      <c r="F392" s="2" t="s">
        <v>3655</v>
      </c>
      <c r="G392" s="2">
        <v>40375778630</v>
      </c>
      <c r="H392" s="2" t="s">
        <v>957</v>
      </c>
      <c r="I392" s="2" t="s">
        <v>958</v>
      </c>
      <c r="J392" s="3">
        <v>42586</v>
      </c>
      <c r="K392" s="2" t="s">
        <v>14</v>
      </c>
      <c r="L392" s="2" t="s">
        <v>1607</v>
      </c>
      <c r="M392" s="2" t="s">
        <v>1484</v>
      </c>
      <c r="N392" s="2">
        <v>0</v>
      </c>
      <c r="O392" s="2">
        <v>0</v>
      </c>
      <c r="P392" s="2">
        <v>1</v>
      </c>
      <c r="Q392" s="2">
        <v>0</v>
      </c>
      <c r="R392" s="2">
        <v>0</v>
      </c>
      <c r="S392" s="2">
        <v>0</v>
      </c>
    </row>
    <row r="393" spans="1:19" ht="39" x14ac:dyDescent="0.25">
      <c r="A393" s="2">
        <v>16506024</v>
      </c>
      <c r="B393" s="2" t="s">
        <v>10</v>
      </c>
      <c r="C393" s="2" t="s">
        <v>3122</v>
      </c>
      <c r="D393" s="2" t="s">
        <v>3122</v>
      </c>
      <c r="E393" s="2" t="s">
        <v>2959</v>
      </c>
      <c r="F393" s="2" t="s">
        <v>3656</v>
      </c>
      <c r="G393" s="2">
        <v>60943013512</v>
      </c>
      <c r="H393" s="2" t="s">
        <v>959</v>
      </c>
      <c r="I393" s="2" t="s">
        <v>960</v>
      </c>
      <c r="J393" s="3">
        <v>42615</v>
      </c>
      <c r="K393" s="2" t="s">
        <v>14</v>
      </c>
      <c r="L393" s="2" t="s">
        <v>1575</v>
      </c>
      <c r="M393" s="2" t="s">
        <v>1484</v>
      </c>
      <c r="N393" s="2">
        <v>0</v>
      </c>
      <c r="O393" s="2">
        <v>0</v>
      </c>
      <c r="P393" s="2">
        <v>0</v>
      </c>
      <c r="Q393" s="2">
        <v>0</v>
      </c>
      <c r="R393" s="2">
        <v>1</v>
      </c>
      <c r="S393" s="2">
        <v>0</v>
      </c>
    </row>
    <row r="394" spans="1:19" ht="39" x14ac:dyDescent="0.25">
      <c r="A394" s="2">
        <v>14530010</v>
      </c>
      <c r="B394" s="2" t="s">
        <v>10</v>
      </c>
      <c r="C394" s="2" t="s">
        <v>32</v>
      </c>
      <c r="D394" s="2" t="s">
        <v>48</v>
      </c>
      <c r="E394" s="2" t="s">
        <v>2960</v>
      </c>
      <c r="F394" s="2" t="s">
        <v>3657</v>
      </c>
      <c r="G394" s="2">
        <v>55846614560</v>
      </c>
      <c r="H394" s="2" t="s">
        <v>961</v>
      </c>
      <c r="I394" s="2" t="s">
        <v>962</v>
      </c>
      <c r="J394" s="3">
        <v>41823</v>
      </c>
      <c r="K394" s="2" t="s">
        <v>14</v>
      </c>
      <c r="L394" s="2" t="s">
        <v>1728</v>
      </c>
      <c r="M394" s="2" t="s">
        <v>1484</v>
      </c>
      <c r="N394" s="2">
        <v>0</v>
      </c>
      <c r="O394" s="2">
        <v>0</v>
      </c>
      <c r="P394" s="2">
        <v>0</v>
      </c>
      <c r="Q394" s="2">
        <v>0</v>
      </c>
      <c r="R394" s="2">
        <v>1</v>
      </c>
      <c r="S394" s="2">
        <v>0</v>
      </c>
    </row>
    <row r="395" spans="1:19" ht="26.25" x14ac:dyDescent="0.25">
      <c r="A395" s="2">
        <v>14570029</v>
      </c>
      <c r="B395" s="2" t="s">
        <v>10</v>
      </c>
      <c r="C395" s="2" t="s">
        <v>3127</v>
      </c>
      <c r="D395" s="2" t="s">
        <v>3127</v>
      </c>
      <c r="E395" s="2" t="s">
        <v>963</v>
      </c>
      <c r="F395" s="2" t="s">
        <v>3658</v>
      </c>
      <c r="G395" s="2">
        <v>35062961136</v>
      </c>
      <c r="H395" s="2" t="s">
        <v>964</v>
      </c>
      <c r="I395" s="2" t="s">
        <v>965</v>
      </c>
      <c r="J395" s="3">
        <v>42041</v>
      </c>
      <c r="K395" s="2" t="s">
        <v>14</v>
      </c>
      <c r="L395" s="2" t="s">
        <v>3230</v>
      </c>
      <c r="M395" s="2" t="s">
        <v>1484</v>
      </c>
      <c r="N395" s="2">
        <v>0</v>
      </c>
      <c r="O395" s="2">
        <v>0</v>
      </c>
      <c r="P395" s="2">
        <v>0</v>
      </c>
      <c r="Q395" s="2">
        <v>0</v>
      </c>
      <c r="R395" s="2">
        <v>1</v>
      </c>
      <c r="S395" s="2">
        <v>0</v>
      </c>
    </row>
    <row r="396" spans="1:19" ht="39" x14ac:dyDescent="0.25">
      <c r="A396" s="2">
        <v>15532002</v>
      </c>
      <c r="B396" s="2" t="s">
        <v>10</v>
      </c>
      <c r="C396" s="2" t="s">
        <v>32</v>
      </c>
      <c r="D396" s="2" t="s">
        <v>33</v>
      </c>
      <c r="E396" s="2" t="s">
        <v>2961</v>
      </c>
      <c r="F396" s="2" t="s">
        <v>3659</v>
      </c>
      <c r="G396" s="2">
        <v>72439030828</v>
      </c>
      <c r="H396" s="2" t="s">
        <v>966</v>
      </c>
      <c r="I396" s="2" t="s">
        <v>967</v>
      </c>
      <c r="J396" s="3">
        <v>42184</v>
      </c>
      <c r="K396" s="2" t="s">
        <v>14</v>
      </c>
      <c r="L396" s="2" t="s">
        <v>1729</v>
      </c>
      <c r="M396" s="2" t="s">
        <v>1484</v>
      </c>
      <c r="N396" s="2">
        <v>0</v>
      </c>
      <c r="O396" s="2">
        <v>0</v>
      </c>
      <c r="P396" s="2">
        <v>0</v>
      </c>
      <c r="Q396" s="2">
        <v>0</v>
      </c>
      <c r="R396" s="2">
        <v>1</v>
      </c>
      <c r="S396" s="2">
        <v>0</v>
      </c>
    </row>
    <row r="397" spans="1:19" ht="64.5" x14ac:dyDescent="0.25">
      <c r="A397" s="2">
        <v>16502002</v>
      </c>
      <c r="B397" s="2" t="s">
        <v>10</v>
      </c>
      <c r="C397" s="2" t="s">
        <v>3132</v>
      </c>
      <c r="D397" s="2" t="s">
        <v>3132</v>
      </c>
      <c r="E397" s="2" t="s">
        <v>2962</v>
      </c>
      <c r="F397" s="2" t="s">
        <v>3660</v>
      </c>
      <c r="G397" s="2">
        <v>15797376702</v>
      </c>
      <c r="H397" s="2" t="s">
        <v>968</v>
      </c>
      <c r="I397" s="2" t="s">
        <v>969</v>
      </c>
      <c r="J397" s="3">
        <v>42583</v>
      </c>
      <c r="K397" s="2" t="s">
        <v>14</v>
      </c>
      <c r="L397" s="2" t="s">
        <v>1730</v>
      </c>
      <c r="M397" s="2" t="s">
        <v>1484</v>
      </c>
      <c r="N397" s="2">
        <v>0</v>
      </c>
      <c r="O397" s="2">
        <v>0</v>
      </c>
      <c r="P397" s="2">
        <v>1</v>
      </c>
      <c r="Q397" s="2">
        <v>0</v>
      </c>
      <c r="R397" s="2">
        <v>0</v>
      </c>
      <c r="S397" s="2">
        <v>0</v>
      </c>
    </row>
    <row r="398" spans="1:19" ht="39" x14ac:dyDescent="0.25">
      <c r="A398" s="2">
        <v>14530013</v>
      </c>
      <c r="B398" s="2" t="s">
        <v>10</v>
      </c>
      <c r="C398" s="2" t="s">
        <v>32</v>
      </c>
      <c r="D398" s="2" t="s">
        <v>48</v>
      </c>
      <c r="E398" s="2" t="s">
        <v>2963</v>
      </c>
      <c r="F398" s="2" t="s">
        <v>3661</v>
      </c>
      <c r="G398" s="2">
        <v>29500745518</v>
      </c>
      <c r="H398" s="2" t="s">
        <v>970</v>
      </c>
      <c r="I398" s="2" t="s">
        <v>971</v>
      </c>
      <c r="J398" s="3">
        <v>41827</v>
      </c>
      <c r="K398" s="2" t="s">
        <v>14</v>
      </c>
      <c r="L398" s="2" t="s">
        <v>1731</v>
      </c>
      <c r="M398" s="2" t="s">
        <v>1484</v>
      </c>
      <c r="N398" s="2">
        <v>0</v>
      </c>
      <c r="O398" s="2">
        <v>0</v>
      </c>
      <c r="P398" s="2">
        <v>0</v>
      </c>
      <c r="Q398" s="2">
        <v>0</v>
      </c>
      <c r="R398" s="2">
        <v>1</v>
      </c>
      <c r="S398" s="2">
        <v>0</v>
      </c>
    </row>
    <row r="399" spans="1:19" ht="39" x14ac:dyDescent="0.25">
      <c r="A399" s="2">
        <v>15523019</v>
      </c>
      <c r="B399" s="2" t="s">
        <v>10</v>
      </c>
      <c r="C399" s="2" t="s">
        <v>3119</v>
      </c>
      <c r="D399" s="2" t="s">
        <v>129</v>
      </c>
      <c r="E399" s="2" t="s">
        <v>2964</v>
      </c>
      <c r="F399" s="2" t="s">
        <v>3662</v>
      </c>
      <c r="G399" s="2">
        <v>37861615906</v>
      </c>
      <c r="H399" s="2" t="s">
        <v>972</v>
      </c>
      <c r="I399" s="2" t="s">
        <v>973</v>
      </c>
      <c r="J399" s="3">
        <v>42391</v>
      </c>
      <c r="K399" s="2" t="s">
        <v>14</v>
      </c>
      <c r="L399" s="2" t="s">
        <v>1732</v>
      </c>
      <c r="M399" s="2" t="s">
        <v>1484</v>
      </c>
      <c r="N399" s="2">
        <v>0</v>
      </c>
      <c r="O399" s="2">
        <v>0</v>
      </c>
      <c r="P399" s="2">
        <v>0</v>
      </c>
      <c r="Q399" s="2">
        <v>0</v>
      </c>
      <c r="R399" s="2">
        <v>1</v>
      </c>
      <c r="S399" s="2">
        <v>0</v>
      </c>
    </row>
    <row r="400" spans="1:19" ht="26.25" x14ac:dyDescent="0.25">
      <c r="A400" s="2">
        <v>16501010</v>
      </c>
      <c r="B400" s="2" t="s">
        <v>10</v>
      </c>
      <c r="C400" s="2" t="s">
        <v>3130</v>
      </c>
      <c r="D400" s="2" t="s">
        <v>3130</v>
      </c>
      <c r="E400" s="2" t="s">
        <v>2965</v>
      </c>
      <c r="F400" s="2" t="s">
        <v>3663</v>
      </c>
      <c r="G400" s="2">
        <v>26290660236</v>
      </c>
      <c r="H400" s="2" t="s">
        <v>974</v>
      </c>
      <c r="I400" s="2" t="s">
        <v>975</v>
      </c>
      <c r="J400" s="3">
        <v>42583</v>
      </c>
      <c r="K400" s="2" t="s">
        <v>14</v>
      </c>
      <c r="L400" s="2" t="s">
        <v>3231</v>
      </c>
      <c r="M400" s="2" t="s">
        <v>1484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1</v>
      </c>
    </row>
    <row r="401" spans="1:19" ht="26.25" x14ac:dyDescent="0.25">
      <c r="A401" s="2">
        <v>9567114</v>
      </c>
      <c r="B401" s="2" t="s">
        <v>10</v>
      </c>
      <c r="C401" s="2" t="s">
        <v>3121</v>
      </c>
      <c r="D401" s="2" t="s">
        <v>3121</v>
      </c>
      <c r="E401" s="2" t="s">
        <v>2966</v>
      </c>
      <c r="F401" s="2" t="s">
        <v>3664</v>
      </c>
      <c r="G401" s="2">
        <v>30739838742</v>
      </c>
      <c r="H401" s="2" t="s">
        <v>976</v>
      </c>
      <c r="I401" s="2" t="s">
        <v>977</v>
      </c>
      <c r="J401" s="3">
        <v>40228</v>
      </c>
      <c r="K401" s="2" t="s">
        <v>14</v>
      </c>
      <c r="L401" s="2" t="s">
        <v>1733</v>
      </c>
      <c r="M401" s="2" t="s">
        <v>1486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ht="26.25" x14ac:dyDescent="0.25">
      <c r="A402" s="2">
        <v>15556008</v>
      </c>
      <c r="B402" s="2" t="s">
        <v>10</v>
      </c>
      <c r="C402" s="2" t="s">
        <v>209</v>
      </c>
      <c r="D402" s="2" t="s">
        <v>477</v>
      </c>
      <c r="E402" s="2" t="s">
        <v>978</v>
      </c>
      <c r="F402" s="2" t="s">
        <v>3665</v>
      </c>
      <c r="G402" s="2">
        <v>45298886202</v>
      </c>
      <c r="H402" s="2" t="s">
        <v>979</v>
      </c>
      <c r="I402" s="2" t="s">
        <v>980</v>
      </c>
      <c r="J402" s="3">
        <v>42391</v>
      </c>
      <c r="K402" s="2" t="s">
        <v>14</v>
      </c>
      <c r="L402" s="2" t="s">
        <v>1734</v>
      </c>
      <c r="M402" s="2" t="s">
        <v>1484</v>
      </c>
      <c r="N402" s="2">
        <v>0</v>
      </c>
      <c r="O402" s="2">
        <v>0</v>
      </c>
      <c r="P402" s="2">
        <v>1</v>
      </c>
      <c r="Q402" s="2">
        <v>0</v>
      </c>
      <c r="R402" s="2">
        <v>0</v>
      </c>
      <c r="S402" s="2">
        <v>0</v>
      </c>
    </row>
    <row r="403" spans="1:19" ht="26.25" x14ac:dyDescent="0.25">
      <c r="A403" s="2">
        <v>13530015</v>
      </c>
      <c r="B403" s="2" t="s">
        <v>66</v>
      </c>
      <c r="C403" s="2" t="s">
        <v>32</v>
      </c>
      <c r="D403" s="2" t="s">
        <v>48</v>
      </c>
      <c r="E403" s="2" t="s">
        <v>2967</v>
      </c>
      <c r="F403" s="2" t="s">
        <v>3666</v>
      </c>
      <c r="G403" s="2">
        <v>52360548418</v>
      </c>
      <c r="H403" s="2" t="s">
        <v>981</v>
      </c>
      <c r="I403" s="2" t="s">
        <v>982</v>
      </c>
      <c r="J403" s="3">
        <v>41514</v>
      </c>
      <c r="K403" s="2" t="s">
        <v>14</v>
      </c>
      <c r="L403" s="2" t="s">
        <v>1735</v>
      </c>
      <c r="M403" s="2" t="s">
        <v>1484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</v>
      </c>
    </row>
    <row r="404" spans="1:19" ht="39" x14ac:dyDescent="0.25">
      <c r="A404" s="2">
        <v>16520008</v>
      </c>
      <c r="B404" s="2" t="s">
        <v>10</v>
      </c>
      <c r="C404" s="2" t="s">
        <v>3118</v>
      </c>
      <c r="D404" s="2" t="s">
        <v>3118</v>
      </c>
      <c r="E404" s="2" t="s">
        <v>983</v>
      </c>
      <c r="F404" s="2" t="s">
        <v>3667</v>
      </c>
      <c r="G404" s="2">
        <v>24259752770</v>
      </c>
      <c r="H404" s="2" t="s">
        <v>984</v>
      </c>
      <c r="I404" s="2" t="s">
        <v>985</v>
      </c>
      <c r="J404" s="3">
        <v>42584</v>
      </c>
      <c r="K404" s="2" t="s">
        <v>14</v>
      </c>
      <c r="L404" s="2" t="s">
        <v>1736</v>
      </c>
      <c r="M404" s="2" t="s">
        <v>1484</v>
      </c>
      <c r="N404" s="2">
        <v>0</v>
      </c>
      <c r="O404" s="2">
        <v>0</v>
      </c>
      <c r="P404" s="2">
        <v>1</v>
      </c>
      <c r="Q404" s="2">
        <v>0</v>
      </c>
      <c r="R404" s="2">
        <v>0</v>
      </c>
      <c r="S404" s="2">
        <v>0</v>
      </c>
    </row>
    <row r="405" spans="1:19" ht="39" x14ac:dyDescent="0.25">
      <c r="A405" s="2">
        <v>15549003</v>
      </c>
      <c r="B405" s="2" t="s">
        <v>10</v>
      </c>
      <c r="C405" s="2" t="s">
        <v>3117</v>
      </c>
      <c r="D405" s="2" t="s">
        <v>11</v>
      </c>
      <c r="E405" s="2" t="s">
        <v>986</v>
      </c>
      <c r="F405" s="2" t="s">
        <v>3668</v>
      </c>
      <c r="G405" s="2">
        <v>20975030130</v>
      </c>
      <c r="H405" s="2" t="s">
        <v>987</v>
      </c>
      <c r="I405" s="2" t="s">
        <v>988</v>
      </c>
      <c r="J405" s="3">
        <v>42180</v>
      </c>
      <c r="K405" s="2" t="s">
        <v>14</v>
      </c>
      <c r="L405" s="2" t="s">
        <v>1737</v>
      </c>
      <c r="M405" s="2" t="s">
        <v>1484</v>
      </c>
      <c r="N405" s="2">
        <v>0</v>
      </c>
      <c r="O405" s="2">
        <v>0</v>
      </c>
      <c r="P405" s="2">
        <v>0</v>
      </c>
      <c r="Q405" s="2">
        <v>0</v>
      </c>
      <c r="R405" s="2">
        <v>1</v>
      </c>
      <c r="S405" s="2">
        <v>0</v>
      </c>
    </row>
    <row r="406" spans="1:19" ht="26.25" x14ac:dyDescent="0.25">
      <c r="A406" s="2">
        <v>11524004</v>
      </c>
      <c r="B406" s="2" t="s">
        <v>10</v>
      </c>
      <c r="C406" s="2" t="s">
        <v>3119</v>
      </c>
      <c r="D406" s="2" t="s">
        <v>90</v>
      </c>
      <c r="E406" s="2" t="s">
        <v>989</v>
      </c>
      <c r="F406" s="2" t="s">
        <v>3669</v>
      </c>
      <c r="G406" s="2">
        <v>14075569928</v>
      </c>
      <c r="H406" s="2" t="s">
        <v>990</v>
      </c>
      <c r="I406" s="2" t="s">
        <v>991</v>
      </c>
      <c r="J406" s="3">
        <v>40808</v>
      </c>
      <c r="K406" s="2" t="s">
        <v>14</v>
      </c>
      <c r="L406" s="2" t="s">
        <v>1738</v>
      </c>
      <c r="M406" s="2" t="s">
        <v>1486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ht="64.5" x14ac:dyDescent="0.25">
      <c r="A407" s="2">
        <v>12558005</v>
      </c>
      <c r="B407" s="2" t="s">
        <v>10</v>
      </c>
      <c r="C407" s="2" t="s">
        <v>209</v>
      </c>
      <c r="D407" s="2" t="s">
        <v>281</v>
      </c>
      <c r="E407" s="2" t="s">
        <v>2968</v>
      </c>
      <c r="F407" s="2" t="s">
        <v>3670</v>
      </c>
      <c r="G407" s="2">
        <v>53623585478</v>
      </c>
      <c r="H407" s="2" t="s">
        <v>992</v>
      </c>
      <c r="I407" s="2" t="s">
        <v>993</v>
      </c>
      <c r="J407" s="3">
        <v>41163</v>
      </c>
      <c r="K407" s="2" t="s">
        <v>14</v>
      </c>
      <c r="L407" s="2" t="s">
        <v>1739</v>
      </c>
      <c r="M407" s="2" t="s">
        <v>1486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ht="39" x14ac:dyDescent="0.25">
      <c r="A408" s="2">
        <v>9516004</v>
      </c>
      <c r="B408" s="2" t="s">
        <v>10</v>
      </c>
      <c r="C408" s="2" t="s">
        <v>167</v>
      </c>
      <c r="D408" s="2" t="s">
        <v>168</v>
      </c>
      <c r="E408" s="2" t="s">
        <v>2969</v>
      </c>
      <c r="F408" s="2" t="s">
        <v>3671</v>
      </c>
      <c r="G408" s="2">
        <v>15028571470</v>
      </c>
      <c r="H408" s="2" t="s">
        <v>994</v>
      </c>
      <c r="I408" s="2" t="s">
        <v>995</v>
      </c>
      <c r="J408" s="3">
        <v>40079</v>
      </c>
      <c r="K408" s="2" t="s">
        <v>14</v>
      </c>
      <c r="L408" s="2" t="s">
        <v>1740</v>
      </c>
      <c r="M408" s="2" t="s">
        <v>1486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</row>
    <row r="409" spans="1:19" ht="26.25" x14ac:dyDescent="0.25">
      <c r="A409" s="2">
        <v>13508003</v>
      </c>
      <c r="B409" s="2" t="s">
        <v>10</v>
      </c>
      <c r="C409" s="2" t="s">
        <v>3142</v>
      </c>
      <c r="D409" s="2" t="s">
        <v>3142</v>
      </c>
      <c r="E409" s="2" t="s">
        <v>2970</v>
      </c>
      <c r="F409" s="2" t="s">
        <v>3672</v>
      </c>
      <c r="G409" s="2">
        <v>18931098256</v>
      </c>
      <c r="H409" s="2" t="s">
        <v>996</v>
      </c>
      <c r="I409" s="2" t="s">
        <v>997</v>
      </c>
      <c r="J409" s="3">
        <v>41465</v>
      </c>
      <c r="K409" s="2" t="s">
        <v>14</v>
      </c>
      <c r="L409" s="2" t="s">
        <v>1741</v>
      </c>
      <c r="M409" s="2" t="s">
        <v>1484</v>
      </c>
      <c r="N409" s="2">
        <v>0</v>
      </c>
      <c r="O409" s="2">
        <v>0</v>
      </c>
      <c r="P409" s="2">
        <v>0</v>
      </c>
      <c r="Q409" s="2">
        <v>1</v>
      </c>
      <c r="R409" s="2">
        <v>0</v>
      </c>
      <c r="S409" s="2">
        <v>0</v>
      </c>
    </row>
    <row r="410" spans="1:19" ht="51.75" x14ac:dyDescent="0.25">
      <c r="A410" s="2">
        <v>12524103</v>
      </c>
      <c r="B410" s="2" t="s">
        <v>10</v>
      </c>
      <c r="C410" s="2" t="s">
        <v>3119</v>
      </c>
      <c r="D410" s="2" t="s">
        <v>90</v>
      </c>
      <c r="E410" s="2" t="s">
        <v>998</v>
      </c>
      <c r="F410" s="2" t="s">
        <v>3673</v>
      </c>
      <c r="G410" s="2">
        <v>17759677896</v>
      </c>
      <c r="H410" s="2" t="s">
        <v>999</v>
      </c>
      <c r="I410" s="2"/>
      <c r="J410" s="3">
        <v>41317</v>
      </c>
      <c r="K410" s="2" t="s">
        <v>14</v>
      </c>
      <c r="L410" s="2" t="s">
        <v>3232</v>
      </c>
      <c r="M410" s="2" t="s">
        <v>1484</v>
      </c>
      <c r="N410" s="2">
        <v>0</v>
      </c>
      <c r="O410" s="2">
        <v>0</v>
      </c>
      <c r="P410" s="2">
        <v>0</v>
      </c>
      <c r="Q410" s="2">
        <v>0</v>
      </c>
      <c r="R410" s="2">
        <v>1</v>
      </c>
      <c r="S410" s="2">
        <v>0</v>
      </c>
    </row>
    <row r="411" spans="1:19" ht="26.25" x14ac:dyDescent="0.25">
      <c r="A411" s="2">
        <v>11558006</v>
      </c>
      <c r="B411" s="2" t="s">
        <v>10</v>
      </c>
      <c r="C411" s="2" t="s">
        <v>209</v>
      </c>
      <c r="D411" s="2" t="s">
        <v>210</v>
      </c>
      <c r="E411" s="2" t="s">
        <v>2971</v>
      </c>
      <c r="F411" s="2" t="s">
        <v>3674</v>
      </c>
      <c r="G411" s="2">
        <v>23117601472</v>
      </c>
      <c r="H411" s="2" t="s">
        <v>1000</v>
      </c>
      <c r="I411" s="2" t="s">
        <v>1001</v>
      </c>
      <c r="J411" s="3">
        <v>40806</v>
      </c>
      <c r="K411" s="2" t="s">
        <v>14</v>
      </c>
      <c r="L411" s="2" t="s">
        <v>1742</v>
      </c>
      <c r="M411" s="2" t="s">
        <v>1486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ht="26.25" x14ac:dyDescent="0.25">
      <c r="A412" s="2">
        <v>16536008</v>
      </c>
      <c r="B412" s="2" t="s">
        <v>10</v>
      </c>
      <c r="C412" s="2" t="s">
        <v>32</v>
      </c>
      <c r="D412" s="2" t="s">
        <v>299</v>
      </c>
      <c r="E412" s="2" t="s">
        <v>2972</v>
      </c>
      <c r="F412" s="2" t="s">
        <v>3675</v>
      </c>
      <c r="G412" s="2">
        <v>11390440192</v>
      </c>
      <c r="H412" s="2" t="s">
        <v>1002</v>
      </c>
      <c r="I412" s="2" t="s">
        <v>1003</v>
      </c>
      <c r="J412" s="3">
        <v>42584</v>
      </c>
      <c r="K412" s="2" t="s">
        <v>14</v>
      </c>
      <c r="L412" s="2" t="s">
        <v>1662</v>
      </c>
      <c r="M412" s="2" t="s">
        <v>1484</v>
      </c>
      <c r="N412" s="2">
        <v>0</v>
      </c>
      <c r="O412" s="2">
        <v>0</v>
      </c>
      <c r="P412" s="2">
        <v>1</v>
      </c>
      <c r="Q412" s="2">
        <v>0</v>
      </c>
      <c r="R412" s="2">
        <v>0</v>
      </c>
      <c r="S412" s="2">
        <v>0</v>
      </c>
    </row>
    <row r="413" spans="1:19" ht="39" x14ac:dyDescent="0.25">
      <c r="A413" s="2">
        <v>14532012</v>
      </c>
      <c r="B413" s="2" t="s">
        <v>10</v>
      </c>
      <c r="C413" s="2" t="s">
        <v>32</v>
      </c>
      <c r="D413" s="2" t="s">
        <v>33</v>
      </c>
      <c r="E413" s="2" t="s">
        <v>2973</v>
      </c>
      <c r="F413" s="2" t="s">
        <v>3676</v>
      </c>
      <c r="G413" s="2">
        <v>29197154570</v>
      </c>
      <c r="H413" s="2" t="s">
        <v>1004</v>
      </c>
      <c r="I413" s="2" t="s">
        <v>1005</v>
      </c>
      <c r="J413" s="3">
        <v>41876</v>
      </c>
      <c r="K413" s="2" t="s">
        <v>110</v>
      </c>
      <c r="L413" s="2" t="s">
        <v>1743</v>
      </c>
      <c r="M413" s="2" t="s">
        <v>1484</v>
      </c>
      <c r="N413" s="2">
        <v>0</v>
      </c>
      <c r="O413" s="2">
        <v>0</v>
      </c>
      <c r="P413" s="2">
        <v>0</v>
      </c>
      <c r="Q413" s="2">
        <v>1</v>
      </c>
      <c r="R413" s="2">
        <v>0</v>
      </c>
      <c r="S413" s="2">
        <v>0</v>
      </c>
    </row>
    <row r="414" spans="1:19" ht="26.25" x14ac:dyDescent="0.25">
      <c r="A414" s="2">
        <v>9534009</v>
      </c>
      <c r="B414" s="2" t="s">
        <v>10</v>
      </c>
      <c r="C414" s="2" t="s">
        <v>32</v>
      </c>
      <c r="D414" s="2" t="s">
        <v>196</v>
      </c>
      <c r="E414" s="2" t="s">
        <v>2974</v>
      </c>
      <c r="F414" s="2" t="s">
        <v>3677</v>
      </c>
      <c r="G414" s="2">
        <v>43366848046</v>
      </c>
      <c r="H414" s="2" t="s">
        <v>1006</v>
      </c>
      <c r="I414" s="2" t="s">
        <v>1007</v>
      </c>
      <c r="J414" s="3">
        <v>40074</v>
      </c>
      <c r="K414" s="2" t="s">
        <v>14</v>
      </c>
      <c r="L414" s="2" t="s">
        <v>3176</v>
      </c>
      <c r="M414" s="2" t="s">
        <v>1486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ht="51.75" x14ac:dyDescent="0.25">
      <c r="A415" s="2">
        <v>10558101</v>
      </c>
      <c r="B415" s="2" t="s">
        <v>10</v>
      </c>
      <c r="C415" s="2" t="s">
        <v>209</v>
      </c>
      <c r="D415" s="2" t="s">
        <v>281</v>
      </c>
      <c r="E415" s="2" t="s">
        <v>2975</v>
      </c>
      <c r="F415" s="2" t="s">
        <v>3678</v>
      </c>
      <c r="G415" s="2">
        <v>19997622690</v>
      </c>
      <c r="H415" s="2" t="s">
        <v>1008</v>
      </c>
      <c r="I415" s="2" t="s">
        <v>1009</v>
      </c>
      <c r="J415" s="3">
        <v>40584</v>
      </c>
      <c r="K415" s="2" t="s">
        <v>14</v>
      </c>
      <c r="L415" s="2" t="s">
        <v>3203</v>
      </c>
      <c r="M415" s="2" t="s">
        <v>1486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ht="39" x14ac:dyDescent="0.25">
      <c r="A416" s="2">
        <v>14523016</v>
      </c>
      <c r="B416" s="2" t="s">
        <v>10</v>
      </c>
      <c r="C416" s="2" t="s">
        <v>3119</v>
      </c>
      <c r="D416" s="2" t="s">
        <v>129</v>
      </c>
      <c r="E416" s="2" t="s">
        <v>1010</v>
      </c>
      <c r="F416" s="2" t="s">
        <v>3679</v>
      </c>
      <c r="G416" s="2">
        <v>25901475924</v>
      </c>
      <c r="H416" s="2" t="s">
        <v>1011</v>
      </c>
      <c r="I416" s="2" t="s">
        <v>1012</v>
      </c>
      <c r="J416" s="3">
        <v>41829</v>
      </c>
      <c r="K416" s="2" t="s">
        <v>14</v>
      </c>
      <c r="L416" s="2" t="s">
        <v>1744</v>
      </c>
      <c r="M416" s="2" t="s">
        <v>1484</v>
      </c>
      <c r="N416" s="2">
        <v>0</v>
      </c>
      <c r="O416" s="2">
        <v>0</v>
      </c>
      <c r="P416" s="2">
        <v>0</v>
      </c>
      <c r="Q416" s="2">
        <v>0</v>
      </c>
      <c r="R416" s="2">
        <v>1</v>
      </c>
      <c r="S416" s="2">
        <v>0</v>
      </c>
    </row>
    <row r="417" spans="1:19" ht="26.25" x14ac:dyDescent="0.25">
      <c r="A417" s="2">
        <v>15522011</v>
      </c>
      <c r="B417" s="2" t="s">
        <v>10</v>
      </c>
      <c r="C417" s="2" t="s">
        <v>3119</v>
      </c>
      <c r="D417" s="2" t="s">
        <v>449</v>
      </c>
      <c r="E417" s="2" t="s">
        <v>2976</v>
      </c>
      <c r="F417" s="2" t="s">
        <v>3680</v>
      </c>
      <c r="G417" s="2">
        <v>60340203356</v>
      </c>
      <c r="H417" s="2" t="s">
        <v>1013</v>
      </c>
      <c r="I417" s="2" t="s">
        <v>1014</v>
      </c>
      <c r="J417" s="3">
        <v>42184</v>
      </c>
      <c r="K417" s="2" t="s">
        <v>14</v>
      </c>
      <c r="L417" s="2" t="s">
        <v>1745</v>
      </c>
      <c r="M417" s="2" t="s">
        <v>1484</v>
      </c>
      <c r="N417" s="2">
        <v>0</v>
      </c>
      <c r="O417" s="2">
        <v>0</v>
      </c>
      <c r="P417" s="2">
        <v>0</v>
      </c>
      <c r="Q417" s="2">
        <v>0</v>
      </c>
      <c r="R417" s="2">
        <v>1</v>
      </c>
      <c r="S417" s="2">
        <v>0</v>
      </c>
    </row>
    <row r="418" spans="1:19" ht="39" x14ac:dyDescent="0.25">
      <c r="A418" s="2">
        <v>16554046</v>
      </c>
      <c r="B418" s="2" t="s">
        <v>10</v>
      </c>
      <c r="C418" s="2" t="s">
        <v>25</v>
      </c>
      <c r="D418" s="2" t="s">
        <v>25</v>
      </c>
      <c r="E418" s="2" t="s">
        <v>2977</v>
      </c>
      <c r="F418" s="2" t="s">
        <v>3681</v>
      </c>
      <c r="G418" s="2">
        <v>53539120008</v>
      </c>
      <c r="H418" s="2" t="s">
        <v>1015</v>
      </c>
      <c r="I418" s="2" t="s">
        <v>1016</v>
      </c>
      <c r="J418" s="3">
        <v>42760</v>
      </c>
      <c r="K418" s="2" t="s">
        <v>14</v>
      </c>
      <c r="L418" s="2" t="s">
        <v>1746</v>
      </c>
      <c r="M418" s="2" t="s">
        <v>1484</v>
      </c>
      <c r="N418" s="2">
        <v>0</v>
      </c>
      <c r="O418" s="2">
        <v>1</v>
      </c>
      <c r="P418" s="2">
        <v>0</v>
      </c>
      <c r="Q418" s="2">
        <v>0</v>
      </c>
      <c r="R418" s="2">
        <v>0</v>
      </c>
      <c r="S418" s="2">
        <v>0</v>
      </c>
    </row>
    <row r="419" spans="1:19" ht="26.25" x14ac:dyDescent="0.25">
      <c r="A419" s="2">
        <v>10535010</v>
      </c>
      <c r="B419" s="2" t="s">
        <v>10</v>
      </c>
      <c r="C419" s="2" t="s">
        <v>32</v>
      </c>
      <c r="D419" s="2" t="s">
        <v>45</v>
      </c>
      <c r="E419" s="2" t="s">
        <v>2978</v>
      </c>
      <c r="F419" s="2" t="s">
        <v>3682</v>
      </c>
      <c r="G419" s="2">
        <v>16667446280</v>
      </c>
      <c r="H419" s="2" t="s">
        <v>1017</v>
      </c>
      <c r="I419" s="2" t="s">
        <v>1018</v>
      </c>
      <c r="J419" s="3">
        <v>40444</v>
      </c>
      <c r="K419" s="2" t="s">
        <v>14</v>
      </c>
      <c r="L419" s="2" t="s">
        <v>1747</v>
      </c>
      <c r="M419" s="2" t="s">
        <v>1486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ht="51.75" x14ac:dyDescent="0.25">
      <c r="A420" s="2">
        <v>15561012</v>
      </c>
      <c r="B420" s="2" t="s">
        <v>10</v>
      </c>
      <c r="C420" s="2" t="s">
        <v>32</v>
      </c>
      <c r="D420" s="2" t="s">
        <v>42</v>
      </c>
      <c r="E420" s="2" t="s">
        <v>1019</v>
      </c>
      <c r="F420" s="2" t="s">
        <v>3683</v>
      </c>
      <c r="G420" s="2">
        <v>21391860752</v>
      </c>
      <c r="H420" s="2" t="s">
        <v>1020</v>
      </c>
      <c r="I420" s="2" t="s">
        <v>1021</v>
      </c>
      <c r="J420" s="3">
        <v>42244</v>
      </c>
      <c r="K420" s="2" t="s">
        <v>14</v>
      </c>
      <c r="L420" s="2" t="s">
        <v>3233</v>
      </c>
      <c r="M420" s="2" t="s">
        <v>1484</v>
      </c>
      <c r="N420" s="2">
        <v>0</v>
      </c>
      <c r="O420" s="2">
        <v>0</v>
      </c>
      <c r="P420" s="2">
        <v>0</v>
      </c>
      <c r="Q420" s="2">
        <v>0</v>
      </c>
      <c r="R420" s="2">
        <v>1</v>
      </c>
      <c r="S420" s="2">
        <v>0</v>
      </c>
    </row>
    <row r="421" spans="1:19" ht="26.25" x14ac:dyDescent="0.25">
      <c r="A421" s="2">
        <v>15522010</v>
      </c>
      <c r="B421" s="2" t="s">
        <v>10</v>
      </c>
      <c r="C421" s="2" t="s">
        <v>3119</v>
      </c>
      <c r="D421" s="2" t="s">
        <v>449</v>
      </c>
      <c r="E421" s="2" t="s">
        <v>1022</v>
      </c>
      <c r="F421" s="2" t="s">
        <v>3684</v>
      </c>
      <c r="G421" s="2">
        <v>38914207352</v>
      </c>
      <c r="H421" s="2" t="s">
        <v>1023</v>
      </c>
      <c r="I421" s="2" t="s">
        <v>1024</v>
      </c>
      <c r="J421" s="3">
        <v>42184</v>
      </c>
      <c r="K421" s="2" t="s">
        <v>14</v>
      </c>
      <c r="L421" s="2" t="s">
        <v>1748</v>
      </c>
      <c r="M421" s="2" t="s">
        <v>1484</v>
      </c>
      <c r="N421" s="2">
        <v>0</v>
      </c>
      <c r="O421" s="2">
        <v>0</v>
      </c>
      <c r="P421" s="2">
        <v>0</v>
      </c>
      <c r="Q421" s="2">
        <v>0</v>
      </c>
      <c r="R421" s="2">
        <v>1</v>
      </c>
      <c r="S421" s="2">
        <v>0</v>
      </c>
    </row>
    <row r="422" spans="1:19" ht="39" x14ac:dyDescent="0.25">
      <c r="A422" s="2">
        <v>15535013</v>
      </c>
      <c r="B422" s="2" t="s">
        <v>10</v>
      </c>
      <c r="C422" s="2" t="s">
        <v>32</v>
      </c>
      <c r="D422" s="2" t="s">
        <v>45</v>
      </c>
      <c r="E422" s="2" t="s">
        <v>2979</v>
      </c>
      <c r="F422" s="2" t="s">
        <v>3685</v>
      </c>
      <c r="G422" s="2">
        <v>55123170352</v>
      </c>
      <c r="H422" s="2" t="s">
        <v>1025</v>
      </c>
      <c r="I422" s="2" t="s">
        <v>1026</v>
      </c>
      <c r="J422" s="3">
        <v>42390</v>
      </c>
      <c r="K422" s="2" t="s">
        <v>14</v>
      </c>
      <c r="L422" s="2" t="s">
        <v>3188</v>
      </c>
      <c r="M422" s="2" t="s">
        <v>1484</v>
      </c>
      <c r="N422" s="2">
        <v>0</v>
      </c>
      <c r="O422" s="2">
        <v>0</v>
      </c>
      <c r="P422" s="2">
        <v>0</v>
      </c>
      <c r="Q422" s="2">
        <v>0</v>
      </c>
      <c r="R422" s="2">
        <v>1</v>
      </c>
      <c r="S422" s="2">
        <v>0</v>
      </c>
    </row>
    <row r="423" spans="1:19" ht="26.25" x14ac:dyDescent="0.25">
      <c r="A423" s="2">
        <v>16527028</v>
      </c>
      <c r="B423" s="2" t="s">
        <v>10</v>
      </c>
      <c r="C423" s="2" t="s">
        <v>3124</v>
      </c>
      <c r="D423" s="2" t="s">
        <v>63</v>
      </c>
      <c r="E423" s="2" t="s">
        <v>1027</v>
      </c>
      <c r="F423" s="2" t="s">
        <v>3686</v>
      </c>
      <c r="G423" s="2">
        <v>29464621194</v>
      </c>
      <c r="H423" s="2" t="s">
        <v>1028</v>
      </c>
      <c r="I423" s="2" t="s">
        <v>1029</v>
      </c>
      <c r="J423" s="3">
        <v>42758</v>
      </c>
      <c r="K423" s="2" t="s">
        <v>14</v>
      </c>
      <c r="L423" s="2" t="s">
        <v>1749</v>
      </c>
      <c r="M423" s="2" t="s">
        <v>1484</v>
      </c>
      <c r="N423" s="2">
        <v>0</v>
      </c>
      <c r="O423" s="2">
        <v>0</v>
      </c>
      <c r="P423" s="2">
        <v>0</v>
      </c>
      <c r="Q423" s="2">
        <v>0</v>
      </c>
      <c r="R423" s="2">
        <v>1</v>
      </c>
      <c r="S423" s="2">
        <v>0</v>
      </c>
    </row>
    <row r="424" spans="1:19" ht="51.75" x14ac:dyDescent="0.25">
      <c r="A424" s="2">
        <v>16534007</v>
      </c>
      <c r="B424" s="2" t="s">
        <v>10</v>
      </c>
      <c r="C424" s="2" t="s">
        <v>32</v>
      </c>
      <c r="D424" s="2" t="s">
        <v>196</v>
      </c>
      <c r="E424" s="2" t="s">
        <v>2980</v>
      </c>
      <c r="F424" s="2" t="s">
        <v>3687</v>
      </c>
      <c r="G424" s="2">
        <v>38017621390</v>
      </c>
      <c r="H424" s="2" t="s">
        <v>1030</v>
      </c>
      <c r="I424" s="2" t="s">
        <v>1031</v>
      </c>
      <c r="J424" s="3">
        <v>42585</v>
      </c>
      <c r="K424" s="2" t="s">
        <v>14</v>
      </c>
      <c r="L424" s="2" t="s">
        <v>1711</v>
      </c>
      <c r="M424" s="2" t="s">
        <v>1484</v>
      </c>
      <c r="N424" s="2">
        <v>0</v>
      </c>
      <c r="O424" s="2">
        <v>0</v>
      </c>
      <c r="P424" s="2">
        <v>1</v>
      </c>
      <c r="Q424" s="2">
        <v>0</v>
      </c>
      <c r="R424" s="2">
        <v>0</v>
      </c>
      <c r="S424" s="2">
        <v>0</v>
      </c>
    </row>
    <row r="425" spans="1:19" ht="26.25" x14ac:dyDescent="0.25">
      <c r="A425" s="2">
        <v>16525021</v>
      </c>
      <c r="B425" s="2" t="s">
        <v>10</v>
      </c>
      <c r="C425" s="2" t="s">
        <v>105</v>
      </c>
      <c r="D425" s="2" t="s">
        <v>105</v>
      </c>
      <c r="E425" s="2" t="s">
        <v>2981</v>
      </c>
      <c r="F425" s="2" t="s">
        <v>3688</v>
      </c>
      <c r="G425" s="2">
        <v>54223216342</v>
      </c>
      <c r="H425" s="2" t="s">
        <v>1032</v>
      </c>
      <c r="I425" s="2" t="s">
        <v>1033</v>
      </c>
      <c r="J425" s="3">
        <v>42758</v>
      </c>
      <c r="K425" s="2" t="s">
        <v>158</v>
      </c>
      <c r="L425" s="2" t="s">
        <v>1750</v>
      </c>
      <c r="M425" s="2" t="s">
        <v>1484</v>
      </c>
      <c r="N425" s="2">
        <v>0</v>
      </c>
      <c r="O425" s="2">
        <v>0</v>
      </c>
      <c r="P425" s="2">
        <v>0</v>
      </c>
      <c r="Q425" s="2">
        <v>0</v>
      </c>
      <c r="R425" s="2">
        <v>1</v>
      </c>
      <c r="S425" s="2">
        <v>0</v>
      </c>
    </row>
    <row r="426" spans="1:19" ht="51.75" x14ac:dyDescent="0.25">
      <c r="A426" s="2">
        <v>13532029</v>
      </c>
      <c r="B426" s="2" t="s">
        <v>66</v>
      </c>
      <c r="C426" s="2" t="s">
        <v>32</v>
      </c>
      <c r="D426" s="2" t="s">
        <v>33</v>
      </c>
      <c r="E426" s="2" t="s">
        <v>2982</v>
      </c>
      <c r="F426" s="2" t="s">
        <v>3689</v>
      </c>
      <c r="G426" s="2">
        <v>99490272462</v>
      </c>
      <c r="H426" s="2" t="s">
        <v>1034</v>
      </c>
      <c r="I426" s="2" t="s">
        <v>1035</v>
      </c>
      <c r="J426" s="3">
        <v>41649</v>
      </c>
      <c r="K426" s="2" t="s">
        <v>14</v>
      </c>
      <c r="L426" s="2" t="s">
        <v>1751</v>
      </c>
      <c r="M426" s="2" t="s">
        <v>1484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1</v>
      </c>
    </row>
    <row r="427" spans="1:19" ht="26.25" x14ac:dyDescent="0.25">
      <c r="A427" s="2">
        <v>14501031</v>
      </c>
      <c r="B427" s="2" t="s">
        <v>66</v>
      </c>
      <c r="C427" s="2" t="s">
        <v>3130</v>
      </c>
      <c r="D427" s="2" t="s">
        <v>3130</v>
      </c>
      <c r="E427" s="2" t="s">
        <v>2983</v>
      </c>
      <c r="F427" s="2" t="s">
        <v>3690</v>
      </c>
      <c r="G427" s="2">
        <v>99121476122</v>
      </c>
      <c r="H427" s="2" t="s">
        <v>1036</v>
      </c>
      <c r="I427" s="2" t="s">
        <v>1037</v>
      </c>
      <c r="J427" s="3">
        <v>41936</v>
      </c>
      <c r="K427" s="2" t="s">
        <v>14</v>
      </c>
      <c r="L427" s="2" t="s">
        <v>1752</v>
      </c>
      <c r="M427" s="2" t="s">
        <v>1484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1</v>
      </c>
    </row>
    <row r="428" spans="1:19" ht="26.25" x14ac:dyDescent="0.25">
      <c r="A428" s="2">
        <v>15501002</v>
      </c>
      <c r="B428" s="2" t="s">
        <v>10</v>
      </c>
      <c r="C428" s="2" t="s">
        <v>3130</v>
      </c>
      <c r="D428" s="2" t="s">
        <v>3130</v>
      </c>
      <c r="E428" s="2" t="s">
        <v>2984</v>
      </c>
      <c r="F428" s="2" t="s">
        <v>3691</v>
      </c>
      <c r="G428" s="2">
        <v>38764832810</v>
      </c>
      <c r="H428" s="2" t="s">
        <v>1038</v>
      </c>
      <c r="I428" s="2" t="s">
        <v>1039</v>
      </c>
      <c r="J428" s="3">
        <v>42180</v>
      </c>
      <c r="K428" s="2" t="s">
        <v>14</v>
      </c>
      <c r="L428" s="2" t="s">
        <v>1753</v>
      </c>
      <c r="M428" s="2" t="s">
        <v>1484</v>
      </c>
      <c r="N428" s="2">
        <v>0</v>
      </c>
      <c r="O428" s="2">
        <v>0</v>
      </c>
      <c r="P428" s="2">
        <v>0</v>
      </c>
      <c r="Q428" s="2">
        <v>0</v>
      </c>
      <c r="R428" s="2">
        <v>1</v>
      </c>
      <c r="S428" s="2">
        <v>0</v>
      </c>
    </row>
    <row r="429" spans="1:19" ht="26.25" x14ac:dyDescent="0.25">
      <c r="A429" s="2">
        <v>16505015</v>
      </c>
      <c r="B429" s="2" t="s">
        <v>10</v>
      </c>
      <c r="C429" s="2" t="s">
        <v>3123</v>
      </c>
      <c r="D429" s="2" t="s">
        <v>70</v>
      </c>
      <c r="E429" s="2" t="s">
        <v>2985</v>
      </c>
      <c r="F429" s="2" t="s">
        <v>3692</v>
      </c>
      <c r="G429" s="2">
        <v>35570329060</v>
      </c>
      <c r="H429" s="2" t="s">
        <v>1040</v>
      </c>
      <c r="I429" s="2" t="s">
        <v>1041</v>
      </c>
      <c r="J429" s="3">
        <v>42584</v>
      </c>
      <c r="K429" s="2" t="s">
        <v>14</v>
      </c>
      <c r="L429" s="2" t="s">
        <v>1692</v>
      </c>
      <c r="M429" s="2" t="s">
        <v>1484</v>
      </c>
      <c r="N429" s="2">
        <v>0</v>
      </c>
      <c r="O429" s="2">
        <v>0</v>
      </c>
      <c r="P429" s="2">
        <v>0</v>
      </c>
      <c r="Q429" s="2">
        <v>0</v>
      </c>
      <c r="R429" s="2">
        <v>1</v>
      </c>
      <c r="S429" s="2">
        <v>0</v>
      </c>
    </row>
    <row r="430" spans="1:19" ht="26.25" x14ac:dyDescent="0.25">
      <c r="A430" s="2">
        <v>17502001</v>
      </c>
      <c r="B430" s="2" t="s">
        <v>10</v>
      </c>
      <c r="C430" s="2" t="s">
        <v>3132</v>
      </c>
      <c r="D430" s="2" t="s">
        <v>3132</v>
      </c>
      <c r="E430" s="2" t="s">
        <v>2986</v>
      </c>
      <c r="F430" s="2" t="s">
        <v>3693</v>
      </c>
      <c r="G430" s="2">
        <v>53764095188</v>
      </c>
      <c r="H430" s="2" t="s">
        <v>1042</v>
      </c>
      <c r="I430" s="2" t="s">
        <v>1043</v>
      </c>
      <c r="J430" s="3">
        <v>42921</v>
      </c>
      <c r="K430" s="2" t="s">
        <v>14</v>
      </c>
      <c r="L430" s="2" t="s">
        <v>1754</v>
      </c>
      <c r="M430" s="2" t="s">
        <v>1484</v>
      </c>
      <c r="N430" s="2">
        <v>0</v>
      </c>
      <c r="O430" s="2">
        <v>0</v>
      </c>
      <c r="P430" s="2">
        <v>0</v>
      </c>
      <c r="Q430" s="2">
        <v>0</v>
      </c>
      <c r="R430" s="2">
        <v>1</v>
      </c>
      <c r="S430" s="2">
        <v>0</v>
      </c>
    </row>
    <row r="431" spans="1:19" ht="39" x14ac:dyDescent="0.25">
      <c r="A431" s="2">
        <v>13535014</v>
      </c>
      <c r="B431" s="2" t="s">
        <v>10</v>
      </c>
      <c r="C431" s="2" t="s">
        <v>3128</v>
      </c>
      <c r="D431" s="2" t="s">
        <v>1044</v>
      </c>
      <c r="E431" s="2" t="s">
        <v>2987</v>
      </c>
      <c r="F431" s="2" t="s">
        <v>3694</v>
      </c>
      <c r="G431" s="2">
        <v>99448378338</v>
      </c>
      <c r="H431" s="2" t="s">
        <v>1045</v>
      </c>
      <c r="I431" s="2" t="s">
        <v>1046</v>
      </c>
      <c r="J431" s="3">
        <v>41677</v>
      </c>
      <c r="K431" s="2" t="s">
        <v>14</v>
      </c>
      <c r="L431" s="2" t="s">
        <v>3234</v>
      </c>
      <c r="M431" s="2" t="s">
        <v>1484</v>
      </c>
      <c r="N431" s="2">
        <v>0</v>
      </c>
      <c r="O431" s="2">
        <v>0</v>
      </c>
      <c r="P431" s="2">
        <v>0</v>
      </c>
      <c r="Q431" s="2">
        <v>0</v>
      </c>
      <c r="R431" s="2">
        <v>1</v>
      </c>
      <c r="S431" s="2">
        <v>0</v>
      </c>
    </row>
    <row r="432" spans="1:19" ht="39" x14ac:dyDescent="0.25">
      <c r="A432" s="2">
        <v>10557102</v>
      </c>
      <c r="B432" s="2" t="s">
        <v>10</v>
      </c>
      <c r="C432" s="2" t="s">
        <v>209</v>
      </c>
      <c r="D432" s="2" t="s">
        <v>210</v>
      </c>
      <c r="E432" s="2" t="s">
        <v>1047</v>
      </c>
      <c r="F432" s="2" t="s">
        <v>3695</v>
      </c>
      <c r="G432" s="2">
        <v>26702429406</v>
      </c>
      <c r="H432" s="2" t="s">
        <v>1048</v>
      </c>
      <c r="I432" s="2" t="s">
        <v>1049</v>
      </c>
      <c r="J432" s="3">
        <v>40585</v>
      </c>
      <c r="K432" s="2" t="s">
        <v>14</v>
      </c>
      <c r="L432" s="2" t="s">
        <v>3235</v>
      </c>
      <c r="M432" s="2" t="s">
        <v>1486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ht="39" x14ac:dyDescent="0.25">
      <c r="A433" s="2">
        <v>550101</v>
      </c>
      <c r="B433" s="2" t="s">
        <v>10</v>
      </c>
      <c r="C433" s="2" t="s">
        <v>3120</v>
      </c>
      <c r="D433" s="2" t="s">
        <v>3135</v>
      </c>
      <c r="E433" s="2" t="s">
        <v>1050</v>
      </c>
      <c r="F433" s="2" t="s">
        <v>3696</v>
      </c>
      <c r="G433" s="2">
        <v>27851459900</v>
      </c>
      <c r="H433" s="2" t="s">
        <v>1051</v>
      </c>
      <c r="I433" s="2" t="s">
        <v>1052</v>
      </c>
      <c r="J433" s="3">
        <v>40772</v>
      </c>
      <c r="K433" s="2" t="s">
        <v>14</v>
      </c>
      <c r="L433" s="2" t="s">
        <v>1755</v>
      </c>
      <c r="M433" s="2" t="s">
        <v>1486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ht="26.25" x14ac:dyDescent="0.25">
      <c r="A434" s="2">
        <v>12558001</v>
      </c>
      <c r="B434" s="2" t="s">
        <v>10</v>
      </c>
      <c r="C434" s="2" t="s">
        <v>209</v>
      </c>
      <c r="D434" s="2" t="s">
        <v>281</v>
      </c>
      <c r="E434" s="2" t="s">
        <v>1053</v>
      </c>
      <c r="F434" s="2" t="s">
        <v>3697</v>
      </c>
      <c r="G434" s="2">
        <v>46180094934</v>
      </c>
      <c r="H434" s="2" t="s">
        <v>1054</v>
      </c>
      <c r="I434" s="2" t="s">
        <v>1055</v>
      </c>
      <c r="J434" s="3">
        <v>41162</v>
      </c>
      <c r="K434" s="2" t="s">
        <v>14</v>
      </c>
      <c r="L434" s="2" t="s">
        <v>1598</v>
      </c>
      <c r="M434" s="2" t="s">
        <v>1486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ht="26.25" x14ac:dyDescent="0.25">
      <c r="A435" s="2">
        <v>16558001</v>
      </c>
      <c r="B435" s="2" t="s">
        <v>10</v>
      </c>
      <c r="C435" s="2" t="s">
        <v>209</v>
      </c>
      <c r="D435" s="2" t="s">
        <v>281</v>
      </c>
      <c r="E435" s="2" t="s">
        <v>1056</v>
      </c>
      <c r="F435" s="2" t="s">
        <v>3698</v>
      </c>
      <c r="G435" s="2">
        <v>38585008692</v>
      </c>
      <c r="H435" s="2" t="s">
        <v>1057</v>
      </c>
      <c r="I435" s="2" t="s">
        <v>1058</v>
      </c>
      <c r="J435" s="3">
        <v>42585</v>
      </c>
      <c r="K435" s="2" t="s">
        <v>158</v>
      </c>
      <c r="L435" s="2" t="s">
        <v>1739</v>
      </c>
      <c r="M435" s="2" t="s">
        <v>1484</v>
      </c>
      <c r="N435" s="2">
        <v>0</v>
      </c>
      <c r="O435" s="2">
        <v>0</v>
      </c>
      <c r="P435" s="2">
        <v>1</v>
      </c>
      <c r="Q435" s="2">
        <v>0</v>
      </c>
      <c r="R435" s="2">
        <v>0</v>
      </c>
      <c r="S435" s="2">
        <v>0</v>
      </c>
    </row>
    <row r="436" spans="1:19" ht="51.75" x14ac:dyDescent="0.25">
      <c r="A436" s="2">
        <v>12516101</v>
      </c>
      <c r="B436" s="2" t="s">
        <v>10</v>
      </c>
      <c r="C436" s="2" t="s">
        <v>167</v>
      </c>
      <c r="D436" s="2" t="s">
        <v>168</v>
      </c>
      <c r="E436" s="2" t="s">
        <v>1059</v>
      </c>
      <c r="F436" s="2" t="s">
        <v>3699</v>
      </c>
      <c r="G436" s="2">
        <v>17191367690</v>
      </c>
      <c r="H436" s="2" t="s">
        <v>1060</v>
      </c>
      <c r="I436" s="2" t="s">
        <v>1061</v>
      </c>
      <c r="J436" s="3">
        <v>41313</v>
      </c>
      <c r="K436" s="2" t="s">
        <v>14</v>
      </c>
      <c r="L436" s="2" t="s">
        <v>1693</v>
      </c>
      <c r="M436" s="2" t="s">
        <v>1484</v>
      </c>
      <c r="N436" s="2">
        <v>0</v>
      </c>
      <c r="O436" s="2">
        <v>0</v>
      </c>
      <c r="P436" s="2">
        <v>0</v>
      </c>
      <c r="Q436" s="2">
        <v>0</v>
      </c>
      <c r="R436" s="2">
        <v>1</v>
      </c>
      <c r="S436" s="2">
        <v>0</v>
      </c>
    </row>
    <row r="437" spans="1:19" ht="26.25" x14ac:dyDescent="0.25">
      <c r="A437" s="2">
        <v>14512007</v>
      </c>
      <c r="B437" s="2" t="s">
        <v>10</v>
      </c>
      <c r="C437" s="2" t="s">
        <v>3128</v>
      </c>
      <c r="D437" s="2" t="s">
        <v>171</v>
      </c>
      <c r="E437" s="2" t="s">
        <v>2988</v>
      </c>
      <c r="F437" s="2" t="s">
        <v>3700</v>
      </c>
      <c r="G437" s="2">
        <v>17455971908</v>
      </c>
      <c r="H437" s="2" t="s">
        <v>1062</v>
      </c>
      <c r="I437" s="2" t="s">
        <v>1063</v>
      </c>
      <c r="J437" s="3">
        <v>42016</v>
      </c>
      <c r="K437" s="2" t="s">
        <v>14</v>
      </c>
      <c r="L437" s="2" t="s">
        <v>1610</v>
      </c>
      <c r="M437" s="2" t="s">
        <v>1484</v>
      </c>
      <c r="N437" s="2">
        <v>0</v>
      </c>
      <c r="O437" s="2">
        <v>0</v>
      </c>
      <c r="P437" s="2">
        <v>0</v>
      </c>
      <c r="Q437" s="2">
        <v>0</v>
      </c>
      <c r="R437" s="2">
        <v>1</v>
      </c>
      <c r="S437" s="2">
        <v>0</v>
      </c>
    </row>
    <row r="438" spans="1:19" ht="39" x14ac:dyDescent="0.25">
      <c r="A438" s="2">
        <v>16549020</v>
      </c>
      <c r="B438" s="2" t="s">
        <v>10</v>
      </c>
      <c r="C438" s="2" t="s">
        <v>3117</v>
      </c>
      <c r="D438" s="2" t="s">
        <v>3136</v>
      </c>
      <c r="E438" s="2" t="s">
        <v>1064</v>
      </c>
      <c r="F438" s="2" t="s">
        <v>3701</v>
      </c>
      <c r="G438" s="2">
        <v>99482369910</v>
      </c>
      <c r="H438" s="2" t="s">
        <v>1065</v>
      </c>
      <c r="I438" s="2" t="s">
        <v>1066</v>
      </c>
      <c r="J438" s="3">
        <v>42769</v>
      </c>
      <c r="K438" s="2" t="s">
        <v>14</v>
      </c>
      <c r="L438" s="2" t="s">
        <v>1756</v>
      </c>
      <c r="M438" s="2" t="s">
        <v>1484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 s="2">
        <v>0</v>
      </c>
    </row>
    <row r="439" spans="1:19" ht="39" x14ac:dyDescent="0.25">
      <c r="A439" s="2">
        <v>15502011</v>
      </c>
      <c r="B439" s="2" t="s">
        <v>10</v>
      </c>
      <c r="C439" s="2" t="s">
        <v>3132</v>
      </c>
      <c r="D439" s="2" t="s">
        <v>3132</v>
      </c>
      <c r="E439" s="2" t="s">
        <v>2989</v>
      </c>
      <c r="F439" s="2" t="s">
        <v>3702</v>
      </c>
      <c r="G439" s="2">
        <v>17941221838</v>
      </c>
      <c r="H439" s="2" t="s">
        <v>1067</v>
      </c>
      <c r="I439" s="2" t="s">
        <v>1068</v>
      </c>
      <c r="J439" s="3">
        <v>42191</v>
      </c>
      <c r="K439" s="2" t="s">
        <v>14</v>
      </c>
      <c r="L439" s="2" t="s">
        <v>1757</v>
      </c>
      <c r="M439" s="2" t="s">
        <v>1484</v>
      </c>
      <c r="N439" s="2">
        <v>0</v>
      </c>
      <c r="O439" s="2">
        <v>0</v>
      </c>
      <c r="P439" s="2">
        <v>0</v>
      </c>
      <c r="Q439" s="2">
        <v>0</v>
      </c>
      <c r="R439" s="2">
        <v>1</v>
      </c>
      <c r="S439" s="2">
        <v>0</v>
      </c>
    </row>
    <row r="440" spans="1:19" ht="39" x14ac:dyDescent="0.25">
      <c r="A440" s="2">
        <v>15504060</v>
      </c>
      <c r="B440" s="2" t="s">
        <v>10</v>
      </c>
      <c r="C440" s="2" t="s">
        <v>3123</v>
      </c>
      <c r="D440" s="2" t="s">
        <v>52</v>
      </c>
      <c r="E440" s="2" t="s">
        <v>2990</v>
      </c>
      <c r="F440" s="2" t="s">
        <v>3703</v>
      </c>
      <c r="G440" s="2">
        <v>20480588140</v>
      </c>
      <c r="H440" s="2" t="s">
        <v>1069</v>
      </c>
      <c r="I440" s="2" t="s">
        <v>1070</v>
      </c>
      <c r="J440" s="3">
        <v>42394</v>
      </c>
      <c r="K440" s="2" t="s">
        <v>14</v>
      </c>
      <c r="L440" s="2" t="s">
        <v>1758</v>
      </c>
      <c r="M440" s="2" t="s">
        <v>1484</v>
      </c>
      <c r="N440" s="2">
        <v>0</v>
      </c>
      <c r="O440" s="2">
        <v>0</v>
      </c>
      <c r="P440" s="2">
        <v>0</v>
      </c>
      <c r="Q440" s="2">
        <v>0</v>
      </c>
      <c r="R440" s="2">
        <v>1</v>
      </c>
      <c r="S440" s="2">
        <v>0</v>
      </c>
    </row>
    <row r="441" spans="1:19" ht="26.25" x14ac:dyDescent="0.25">
      <c r="A441" s="2">
        <v>14594008</v>
      </c>
      <c r="B441" s="2" t="s">
        <v>66</v>
      </c>
      <c r="C441" s="2" t="s">
        <v>3122</v>
      </c>
      <c r="D441" s="2" t="s">
        <v>3122</v>
      </c>
      <c r="E441" s="2" t="s">
        <v>2991</v>
      </c>
      <c r="F441" s="2" t="s">
        <v>3704</v>
      </c>
      <c r="G441" s="2">
        <v>55732521224</v>
      </c>
      <c r="H441" s="2" t="s">
        <v>1071</v>
      </c>
      <c r="I441" s="2" t="s">
        <v>1072</v>
      </c>
      <c r="J441" s="3">
        <v>41886</v>
      </c>
      <c r="K441" s="2" t="s">
        <v>14</v>
      </c>
      <c r="L441" s="2" t="s">
        <v>1759</v>
      </c>
      <c r="M441" s="2" t="s">
        <v>1484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</v>
      </c>
    </row>
    <row r="442" spans="1:19" ht="26.25" x14ac:dyDescent="0.25">
      <c r="A442" s="2">
        <v>12555102</v>
      </c>
      <c r="B442" s="2" t="s">
        <v>10</v>
      </c>
      <c r="C442" s="2" t="s">
        <v>3117</v>
      </c>
      <c r="D442" s="2" t="s">
        <v>3147</v>
      </c>
      <c r="E442" s="2" t="s">
        <v>2992</v>
      </c>
      <c r="F442" s="2" t="s">
        <v>3705</v>
      </c>
      <c r="G442" s="2">
        <v>26996624914</v>
      </c>
      <c r="H442" s="2" t="s">
        <v>1073</v>
      </c>
      <c r="I442" s="2" t="s">
        <v>1074</v>
      </c>
      <c r="J442" s="3">
        <v>41311</v>
      </c>
      <c r="K442" s="2" t="s">
        <v>14</v>
      </c>
      <c r="L442" s="2" t="s">
        <v>3236</v>
      </c>
      <c r="M442" s="2" t="s">
        <v>1484</v>
      </c>
      <c r="N442" s="2">
        <v>0</v>
      </c>
      <c r="O442" s="2">
        <v>0</v>
      </c>
      <c r="P442" s="2">
        <v>0</v>
      </c>
      <c r="Q442" s="2">
        <v>0</v>
      </c>
      <c r="R442" s="2">
        <v>1</v>
      </c>
      <c r="S442" s="2">
        <v>0</v>
      </c>
    </row>
    <row r="443" spans="1:19" ht="26.25" x14ac:dyDescent="0.25">
      <c r="A443" s="2">
        <v>16529007</v>
      </c>
      <c r="B443" s="2" t="s">
        <v>10</v>
      </c>
      <c r="C443" s="2" t="s">
        <v>32</v>
      </c>
      <c r="D443" s="2" t="s">
        <v>141</v>
      </c>
      <c r="E443" s="2" t="s">
        <v>1075</v>
      </c>
      <c r="F443" s="2" t="s">
        <v>3706</v>
      </c>
      <c r="G443" s="2">
        <v>25018476340</v>
      </c>
      <c r="H443" s="2" t="s">
        <v>1076</v>
      </c>
      <c r="I443" s="2" t="s">
        <v>1077</v>
      </c>
      <c r="J443" s="3">
        <v>42585</v>
      </c>
      <c r="K443" s="2" t="s">
        <v>14</v>
      </c>
      <c r="L443" s="2" t="s">
        <v>3237</v>
      </c>
      <c r="M443" s="2" t="s">
        <v>1484</v>
      </c>
      <c r="N443" s="2">
        <v>0</v>
      </c>
      <c r="O443" s="2">
        <v>0</v>
      </c>
      <c r="P443" s="2">
        <v>0</v>
      </c>
      <c r="Q443" s="2">
        <v>0</v>
      </c>
      <c r="R443" s="2">
        <v>1</v>
      </c>
      <c r="S443" s="2">
        <v>0</v>
      </c>
    </row>
    <row r="444" spans="1:19" ht="26.25" x14ac:dyDescent="0.25">
      <c r="A444" s="2">
        <v>16526008</v>
      </c>
      <c r="B444" s="2" t="s">
        <v>10</v>
      </c>
      <c r="C444" s="2" t="s">
        <v>3134</v>
      </c>
      <c r="D444" s="2" t="s">
        <v>3134</v>
      </c>
      <c r="E444" s="2" t="s">
        <v>1078</v>
      </c>
      <c r="F444" s="2" t="s">
        <v>3707</v>
      </c>
      <c r="G444" s="2">
        <v>49729459638</v>
      </c>
      <c r="H444" s="2" t="s">
        <v>1079</v>
      </c>
      <c r="I444" s="2" t="s">
        <v>1080</v>
      </c>
      <c r="J444" s="3">
        <v>42585</v>
      </c>
      <c r="K444" s="2" t="s">
        <v>14</v>
      </c>
      <c r="L444" s="2" t="s">
        <v>1760</v>
      </c>
      <c r="M444" s="2" t="s">
        <v>1484</v>
      </c>
      <c r="N444" s="2">
        <v>0</v>
      </c>
      <c r="O444" s="2">
        <v>0</v>
      </c>
      <c r="P444" s="2">
        <v>0</v>
      </c>
      <c r="Q444" s="2">
        <v>0</v>
      </c>
      <c r="R444" s="2">
        <v>1</v>
      </c>
      <c r="S444" s="2">
        <v>0</v>
      </c>
    </row>
    <row r="445" spans="1:19" ht="39" x14ac:dyDescent="0.25">
      <c r="A445" s="2">
        <v>14552009</v>
      </c>
      <c r="B445" s="2" t="s">
        <v>10</v>
      </c>
      <c r="C445" s="2" t="s">
        <v>3119</v>
      </c>
      <c r="D445" s="2" t="s">
        <v>19</v>
      </c>
      <c r="E445" s="2" t="s">
        <v>2993</v>
      </c>
      <c r="F445" s="2" t="s">
        <v>3708</v>
      </c>
      <c r="G445" s="2">
        <v>19942834178</v>
      </c>
      <c r="H445" s="2" t="s">
        <v>1081</v>
      </c>
      <c r="I445" s="2" t="s">
        <v>1082</v>
      </c>
      <c r="J445" s="3">
        <v>41879</v>
      </c>
      <c r="K445" s="2" t="s">
        <v>14</v>
      </c>
      <c r="L445" s="2" t="s">
        <v>1665</v>
      </c>
      <c r="M445" s="2" t="s">
        <v>1484</v>
      </c>
      <c r="N445" s="2">
        <v>0</v>
      </c>
      <c r="O445" s="2">
        <v>0</v>
      </c>
      <c r="P445" s="2">
        <v>0</v>
      </c>
      <c r="Q445" s="2">
        <v>0</v>
      </c>
      <c r="R445" s="2">
        <v>1</v>
      </c>
      <c r="S445" s="2">
        <v>0</v>
      </c>
    </row>
    <row r="446" spans="1:19" ht="26.25" x14ac:dyDescent="0.25">
      <c r="A446" s="2">
        <v>15502009</v>
      </c>
      <c r="B446" s="2" t="s">
        <v>10</v>
      </c>
      <c r="C446" s="2" t="s">
        <v>3132</v>
      </c>
      <c r="D446" s="2" t="s">
        <v>3132</v>
      </c>
      <c r="E446" s="2" t="s">
        <v>1083</v>
      </c>
      <c r="F446" s="2" t="s">
        <v>3709</v>
      </c>
      <c r="G446" s="2">
        <v>36965143322</v>
      </c>
      <c r="H446" s="2" t="s">
        <v>1084</v>
      </c>
      <c r="I446" s="2" t="s">
        <v>1085</v>
      </c>
      <c r="J446" s="3">
        <v>42191</v>
      </c>
      <c r="K446" s="2" t="s">
        <v>14</v>
      </c>
      <c r="L446" s="2" t="s">
        <v>1722</v>
      </c>
      <c r="M446" s="2" t="s">
        <v>1484</v>
      </c>
      <c r="N446" s="2">
        <v>0</v>
      </c>
      <c r="O446" s="2">
        <v>0</v>
      </c>
      <c r="P446" s="2">
        <v>0</v>
      </c>
      <c r="Q446" s="2">
        <v>0</v>
      </c>
      <c r="R446" s="2">
        <v>1</v>
      </c>
      <c r="S446" s="2">
        <v>0</v>
      </c>
    </row>
    <row r="447" spans="1:19" ht="26.25" x14ac:dyDescent="0.25">
      <c r="A447" s="2">
        <v>15535016</v>
      </c>
      <c r="B447" s="2" t="s">
        <v>10</v>
      </c>
      <c r="C447" s="2" t="s">
        <v>32</v>
      </c>
      <c r="D447" s="2" t="s">
        <v>45</v>
      </c>
      <c r="E447" s="2" t="s">
        <v>2994</v>
      </c>
      <c r="F447" s="2" t="s">
        <v>3710</v>
      </c>
      <c r="G447" s="2">
        <v>20644357674</v>
      </c>
      <c r="H447" s="2" t="s">
        <v>1086</v>
      </c>
      <c r="I447" s="2" t="s">
        <v>1087</v>
      </c>
      <c r="J447" s="3">
        <v>42391</v>
      </c>
      <c r="K447" s="2" t="s">
        <v>14</v>
      </c>
      <c r="L447" s="2" t="s">
        <v>1593</v>
      </c>
      <c r="M447" s="2" t="s">
        <v>1484</v>
      </c>
      <c r="N447" s="2">
        <v>0</v>
      </c>
      <c r="O447" s="2">
        <v>0</v>
      </c>
      <c r="P447" s="2">
        <v>1</v>
      </c>
      <c r="Q447" s="2">
        <v>0</v>
      </c>
      <c r="R447" s="2">
        <v>0</v>
      </c>
      <c r="S447" s="2">
        <v>0</v>
      </c>
    </row>
    <row r="448" spans="1:19" ht="26.25" x14ac:dyDescent="0.25">
      <c r="A448" s="2">
        <v>15505057</v>
      </c>
      <c r="B448" s="2" t="s">
        <v>10</v>
      </c>
      <c r="C448" s="2" t="s">
        <v>3123</v>
      </c>
      <c r="D448" s="2" t="s">
        <v>70</v>
      </c>
      <c r="E448" s="2" t="s">
        <v>2995</v>
      </c>
      <c r="F448" s="2" t="s">
        <v>3711</v>
      </c>
      <c r="G448" s="2">
        <v>17750138822</v>
      </c>
      <c r="H448" s="2" t="s">
        <v>1088</v>
      </c>
      <c r="I448" s="2" t="s">
        <v>1089</v>
      </c>
      <c r="J448" s="3">
        <v>42390</v>
      </c>
      <c r="K448" s="2" t="s">
        <v>14</v>
      </c>
      <c r="L448" s="2" t="s">
        <v>3238</v>
      </c>
      <c r="M448" s="2" t="s">
        <v>1484</v>
      </c>
      <c r="N448" s="2">
        <v>0</v>
      </c>
      <c r="O448" s="2">
        <v>0</v>
      </c>
      <c r="P448" s="2">
        <v>1</v>
      </c>
      <c r="Q448" s="2">
        <v>0</v>
      </c>
      <c r="R448" s="2">
        <v>0</v>
      </c>
      <c r="S448" s="2">
        <v>0</v>
      </c>
    </row>
    <row r="449" spans="1:19" ht="26.25" x14ac:dyDescent="0.25">
      <c r="A449" s="2">
        <v>8529004</v>
      </c>
      <c r="B449" s="2" t="s">
        <v>10</v>
      </c>
      <c r="C449" s="2" t="s">
        <v>32</v>
      </c>
      <c r="D449" s="2" t="s">
        <v>141</v>
      </c>
      <c r="E449" s="2" t="s">
        <v>2996</v>
      </c>
      <c r="F449" s="2" t="s">
        <v>3712</v>
      </c>
      <c r="G449" s="2">
        <v>24770186320</v>
      </c>
      <c r="H449" s="2" t="s">
        <v>1090</v>
      </c>
      <c r="I449" s="2" t="s">
        <v>1091</v>
      </c>
      <c r="J449" s="3">
        <v>39710</v>
      </c>
      <c r="K449" s="2" t="s">
        <v>14</v>
      </c>
      <c r="L449" s="2" t="s">
        <v>3212</v>
      </c>
      <c r="M449" s="2" t="s">
        <v>1486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</row>
    <row r="450" spans="1:19" ht="51.75" x14ac:dyDescent="0.25">
      <c r="A450" s="2">
        <v>9534003</v>
      </c>
      <c r="B450" s="2" t="s">
        <v>10</v>
      </c>
      <c r="C450" s="2" t="s">
        <v>32</v>
      </c>
      <c r="D450" s="2" t="s">
        <v>196</v>
      </c>
      <c r="E450" s="2" t="s">
        <v>2997</v>
      </c>
      <c r="F450" s="2" t="s">
        <v>3713</v>
      </c>
      <c r="G450" s="2">
        <v>45715110262</v>
      </c>
      <c r="H450" s="2" t="s">
        <v>1092</v>
      </c>
      <c r="I450" s="2" t="s">
        <v>1093</v>
      </c>
      <c r="J450" s="3">
        <v>40074</v>
      </c>
      <c r="K450" s="2" t="s">
        <v>14</v>
      </c>
      <c r="L450" s="2" t="s">
        <v>3176</v>
      </c>
      <c r="M450" s="2" t="s">
        <v>1486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ht="39" x14ac:dyDescent="0.25">
      <c r="A451" s="2">
        <v>7543009</v>
      </c>
      <c r="B451" s="2" t="s">
        <v>10</v>
      </c>
      <c r="C451" s="2" t="s">
        <v>126</v>
      </c>
      <c r="D451" s="2" t="s">
        <v>126</v>
      </c>
      <c r="E451" s="2" t="s">
        <v>2998</v>
      </c>
      <c r="F451" s="2" t="s">
        <v>3714</v>
      </c>
      <c r="G451" s="2">
        <v>30151864558</v>
      </c>
      <c r="H451" s="2" t="s">
        <v>1094</v>
      </c>
      <c r="I451" s="2" t="s">
        <v>1095</v>
      </c>
      <c r="J451" s="3">
        <v>39283</v>
      </c>
      <c r="K451" s="2" t="s">
        <v>14</v>
      </c>
      <c r="L451" s="2" t="s">
        <v>3239</v>
      </c>
      <c r="M451" s="2" t="s">
        <v>1486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ht="26.25" x14ac:dyDescent="0.25">
      <c r="A452" s="2">
        <v>14522007</v>
      </c>
      <c r="B452" s="2" t="s">
        <v>10</v>
      </c>
      <c r="C452" s="2" t="s">
        <v>3119</v>
      </c>
      <c r="D452" s="2" t="s">
        <v>449</v>
      </c>
      <c r="E452" s="2" t="s">
        <v>1096</v>
      </c>
      <c r="F452" s="2" t="s">
        <v>3715</v>
      </c>
      <c r="G452" s="2">
        <v>27307885796</v>
      </c>
      <c r="H452" s="2" t="s">
        <v>1097</v>
      </c>
      <c r="I452" s="2" t="s">
        <v>1098</v>
      </c>
      <c r="J452" s="3">
        <v>41828</v>
      </c>
      <c r="K452" s="2" t="s">
        <v>14</v>
      </c>
      <c r="L452" s="2" t="s">
        <v>3240</v>
      </c>
      <c r="M452" s="2" t="s">
        <v>1484</v>
      </c>
      <c r="N452" s="2">
        <v>0</v>
      </c>
      <c r="O452" s="2">
        <v>0</v>
      </c>
      <c r="P452" s="2">
        <v>0</v>
      </c>
      <c r="Q452" s="2">
        <v>1</v>
      </c>
      <c r="R452" s="2">
        <v>0</v>
      </c>
      <c r="S452" s="2">
        <v>0</v>
      </c>
    </row>
    <row r="453" spans="1:19" ht="39" x14ac:dyDescent="0.25">
      <c r="A453" s="2">
        <v>12542301</v>
      </c>
      <c r="B453" s="2" t="s">
        <v>66</v>
      </c>
      <c r="C453" s="2" t="s">
        <v>185</v>
      </c>
      <c r="D453" s="2" t="s">
        <v>185</v>
      </c>
      <c r="E453" s="2" t="s">
        <v>2999</v>
      </c>
      <c r="F453" s="2" t="s">
        <v>3716</v>
      </c>
      <c r="G453" s="2">
        <v>25172189544</v>
      </c>
      <c r="H453" s="2" t="s">
        <v>1099</v>
      </c>
      <c r="I453" s="2" t="s">
        <v>1100</v>
      </c>
      <c r="J453" s="3">
        <v>41319</v>
      </c>
      <c r="K453" s="2" t="s">
        <v>14</v>
      </c>
      <c r="L453" s="2" t="s">
        <v>3241</v>
      </c>
      <c r="M453" s="2" t="s">
        <v>1484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1</v>
      </c>
    </row>
    <row r="454" spans="1:19" ht="39" x14ac:dyDescent="0.25">
      <c r="A454" s="2">
        <v>11536010</v>
      </c>
      <c r="B454" s="2" t="s">
        <v>10</v>
      </c>
      <c r="C454" s="2" t="s">
        <v>32</v>
      </c>
      <c r="D454" s="2" t="s">
        <v>299</v>
      </c>
      <c r="E454" s="2" t="s">
        <v>3000</v>
      </c>
      <c r="F454" s="2" t="s">
        <v>3717</v>
      </c>
      <c r="G454" s="2">
        <v>18394137400</v>
      </c>
      <c r="H454" s="2" t="s">
        <v>1101</v>
      </c>
      <c r="I454" s="2" t="s">
        <v>1102</v>
      </c>
      <c r="J454" s="3">
        <v>40806</v>
      </c>
      <c r="K454" s="2" t="s">
        <v>14</v>
      </c>
      <c r="L454" s="2" t="s">
        <v>1559</v>
      </c>
      <c r="M454" s="2" t="s">
        <v>1486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  <row r="455" spans="1:19" ht="26.25" x14ac:dyDescent="0.25">
      <c r="A455" s="2">
        <v>11534015</v>
      </c>
      <c r="B455" s="2" t="s">
        <v>10</v>
      </c>
      <c r="C455" s="2" t="s">
        <v>32</v>
      </c>
      <c r="D455" s="2" t="s">
        <v>196</v>
      </c>
      <c r="E455" s="2" t="s">
        <v>1103</v>
      </c>
      <c r="F455" s="2" t="s">
        <v>3718</v>
      </c>
      <c r="G455" s="2">
        <v>10498687058</v>
      </c>
      <c r="H455" s="2" t="s">
        <v>1104</v>
      </c>
      <c r="I455" s="2" t="s">
        <v>1105</v>
      </c>
      <c r="J455" s="3">
        <v>40807</v>
      </c>
      <c r="K455" s="2" t="s">
        <v>14</v>
      </c>
      <c r="L455" s="2" t="s">
        <v>1761</v>
      </c>
      <c r="M455" s="2" t="s">
        <v>1486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</row>
    <row r="456" spans="1:19" ht="26.25" x14ac:dyDescent="0.25">
      <c r="A456" s="2">
        <v>13504015</v>
      </c>
      <c r="B456" s="2" t="s">
        <v>10</v>
      </c>
      <c r="C456" s="2" t="s">
        <v>3123</v>
      </c>
      <c r="D456" s="2" t="s">
        <v>52</v>
      </c>
      <c r="E456" s="2" t="s">
        <v>1106</v>
      </c>
      <c r="F456" s="2" t="s">
        <v>3719</v>
      </c>
      <c r="G456" s="2">
        <v>35054230776</v>
      </c>
      <c r="H456" s="2" t="s">
        <v>1107</v>
      </c>
      <c r="I456" s="2" t="s">
        <v>1108</v>
      </c>
      <c r="J456" s="3">
        <v>41523</v>
      </c>
      <c r="K456" s="2" t="s">
        <v>14</v>
      </c>
      <c r="L456" s="2" t="s">
        <v>1762</v>
      </c>
      <c r="M456" s="2" t="s">
        <v>1484</v>
      </c>
      <c r="N456" s="2">
        <v>0</v>
      </c>
      <c r="O456" s="2">
        <v>0</v>
      </c>
      <c r="P456" s="2">
        <v>0</v>
      </c>
      <c r="Q456" s="2">
        <v>0</v>
      </c>
      <c r="R456" s="2">
        <v>1</v>
      </c>
      <c r="S456" s="2">
        <v>0</v>
      </c>
    </row>
    <row r="457" spans="1:19" ht="39" x14ac:dyDescent="0.25">
      <c r="A457" s="2">
        <v>12507301</v>
      </c>
      <c r="B457" s="2" t="s">
        <v>66</v>
      </c>
      <c r="C457" s="2" t="s">
        <v>67</v>
      </c>
      <c r="D457" s="2" t="s">
        <v>67</v>
      </c>
      <c r="E457" s="2" t="s">
        <v>3001</v>
      </c>
      <c r="F457" s="2" t="s">
        <v>3720</v>
      </c>
      <c r="G457" s="2">
        <v>19945353706</v>
      </c>
      <c r="H457" s="2" t="s">
        <v>1109</v>
      </c>
      <c r="I457" s="2" t="s">
        <v>1110</v>
      </c>
      <c r="J457" s="3">
        <v>41312</v>
      </c>
      <c r="K457" s="2" t="s">
        <v>158</v>
      </c>
      <c r="L457" s="2" t="s">
        <v>1763</v>
      </c>
      <c r="M457" s="2" t="s">
        <v>1484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1</v>
      </c>
    </row>
    <row r="458" spans="1:19" ht="26.25" x14ac:dyDescent="0.25">
      <c r="A458" s="2">
        <v>16532003</v>
      </c>
      <c r="B458" s="2" t="s">
        <v>10</v>
      </c>
      <c r="C458" s="2" t="s">
        <v>32</v>
      </c>
      <c r="D458" s="2" t="s">
        <v>33</v>
      </c>
      <c r="E458" s="2" t="s">
        <v>1111</v>
      </c>
      <c r="F458" s="2" t="s">
        <v>3721</v>
      </c>
      <c r="G458" s="2">
        <v>53932139140</v>
      </c>
      <c r="H458" s="2" t="s">
        <v>1112</v>
      </c>
      <c r="I458" s="2" t="s">
        <v>1113</v>
      </c>
      <c r="J458" s="3">
        <v>42583</v>
      </c>
      <c r="K458" s="2" t="s">
        <v>14</v>
      </c>
      <c r="L458" s="2" t="s">
        <v>1764</v>
      </c>
      <c r="M458" s="2" t="s">
        <v>1484</v>
      </c>
      <c r="N458" s="2">
        <v>0</v>
      </c>
      <c r="O458" s="2">
        <v>0</v>
      </c>
      <c r="P458" s="2">
        <v>0</v>
      </c>
      <c r="Q458" s="2">
        <v>0</v>
      </c>
      <c r="R458" s="2">
        <v>1</v>
      </c>
      <c r="S458" s="2">
        <v>0</v>
      </c>
    </row>
    <row r="459" spans="1:19" ht="26.25" x14ac:dyDescent="0.25">
      <c r="A459" s="2">
        <v>15551015</v>
      </c>
      <c r="B459" s="2" t="s">
        <v>10</v>
      </c>
      <c r="C459" s="2" t="s">
        <v>3120</v>
      </c>
      <c r="D459" s="2" t="s">
        <v>1114</v>
      </c>
      <c r="E459" s="2" t="s">
        <v>3002</v>
      </c>
      <c r="F459" s="2" t="s">
        <v>3722</v>
      </c>
      <c r="G459" s="2">
        <v>25648631522</v>
      </c>
      <c r="H459" s="2" t="s">
        <v>1115</v>
      </c>
      <c r="I459" s="2" t="s">
        <v>1116</v>
      </c>
      <c r="J459" s="3">
        <v>42389</v>
      </c>
      <c r="K459" s="2" t="s">
        <v>14</v>
      </c>
      <c r="L459" s="2" t="s">
        <v>1765</v>
      </c>
      <c r="M459" s="2" t="s">
        <v>1484</v>
      </c>
      <c r="N459" s="2">
        <v>0</v>
      </c>
      <c r="O459" s="2">
        <v>0</v>
      </c>
      <c r="P459" s="2">
        <v>0</v>
      </c>
      <c r="Q459" s="2">
        <v>1</v>
      </c>
      <c r="R459" s="2">
        <v>0</v>
      </c>
      <c r="S459" s="2">
        <v>0</v>
      </c>
    </row>
    <row r="460" spans="1:19" ht="26.25" x14ac:dyDescent="0.25">
      <c r="A460" s="2">
        <v>13551011</v>
      </c>
      <c r="B460" s="2" t="s">
        <v>66</v>
      </c>
      <c r="C460" s="2" t="s">
        <v>3120</v>
      </c>
      <c r="D460" s="2" t="s">
        <v>1114</v>
      </c>
      <c r="E460" s="2" t="s">
        <v>3003</v>
      </c>
      <c r="F460" s="2" t="s">
        <v>3723</v>
      </c>
      <c r="G460" s="2">
        <v>40096154942</v>
      </c>
      <c r="H460" s="2" t="s">
        <v>1117</v>
      </c>
      <c r="I460" s="2" t="s">
        <v>1118</v>
      </c>
      <c r="J460" s="3">
        <v>41463</v>
      </c>
      <c r="K460" s="2" t="s">
        <v>14</v>
      </c>
      <c r="L460" s="2" t="s">
        <v>1766</v>
      </c>
      <c r="M460" s="2" t="s">
        <v>1484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1</v>
      </c>
    </row>
    <row r="461" spans="1:19" ht="26.25" x14ac:dyDescent="0.25">
      <c r="A461" s="2">
        <v>10520020</v>
      </c>
      <c r="B461" s="2" t="s">
        <v>10</v>
      </c>
      <c r="C461" s="2" t="s">
        <v>3118</v>
      </c>
      <c r="D461" s="2" t="s">
        <v>3118</v>
      </c>
      <c r="E461" s="2" t="s">
        <v>3004</v>
      </c>
      <c r="F461" s="2" t="s">
        <v>3724</v>
      </c>
      <c r="G461" s="2">
        <v>11710170648</v>
      </c>
      <c r="H461" s="2" t="s">
        <v>1119</v>
      </c>
      <c r="I461" s="2" t="s">
        <v>1120</v>
      </c>
      <c r="J461" s="3">
        <v>40444</v>
      </c>
      <c r="K461" s="2" t="s">
        <v>14</v>
      </c>
      <c r="L461" s="2" t="s">
        <v>3242</v>
      </c>
      <c r="M461" s="2" t="s">
        <v>1486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ht="26.25" x14ac:dyDescent="0.25">
      <c r="A462" s="2">
        <v>16527002</v>
      </c>
      <c r="B462" s="2" t="s">
        <v>10</v>
      </c>
      <c r="C462" s="2" t="s">
        <v>3124</v>
      </c>
      <c r="D462" s="2" t="s">
        <v>63</v>
      </c>
      <c r="E462" s="2" t="s">
        <v>3005</v>
      </c>
      <c r="F462" s="2" t="s">
        <v>3725</v>
      </c>
      <c r="G462" s="2">
        <v>50077229316</v>
      </c>
      <c r="H462" s="2" t="s">
        <v>1121</v>
      </c>
      <c r="I462" s="2" t="s">
        <v>1122</v>
      </c>
      <c r="J462" s="3">
        <v>42583</v>
      </c>
      <c r="K462" s="2" t="s">
        <v>14</v>
      </c>
      <c r="L462" s="2" t="s">
        <v>1767</v>
      </c>
      <c r="M462" s="2" t="s">
        <v>1484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  <c r="S462" s="2">
        <v>0</v>
      </c>
    </row>
    <row r="463" spans="1:19" ht="26.25" x14ac:dyDescent="0.25">
      <c r="A463" s="2">
        <v>14505052</v>
      </c>
      <c r="B463" s="2" t="s">
        <v>10</v>
      </c>
      <c r="C463" s="2" t="s">
        <v>3123</v>
      </c>
      <c r="D463" s="2" t="s">
        <v>70</v>
      </c>
      <c r="E463" s="2" t="s">
        <v>1123</v>
      </c>
      <c r="F463" s="2" t="s">
        <v>3726</v>
      </c>
      <c r="G463" s="2">
        <v>39545160092</v>
      </c>
      <c r="H463" s="2" t="s">
        <v>1124</v>
      </c>
      <c r="I463" s="2" t="s">
        <v>1125</v>
      </c>
      <c r="J463" s="3">
        <v>42013</v>
      </c>
      <c r="K463" s="2" t="s">
        <v>14</v>
      </c>
      <c r="L463" s="2" t="s">
        <v>1768</v>
      </c>
      <c r="M463" s="2" t="s">
        <v>1484</v>
      </c>
      <c r="N463" s="2">
        <v>0</v>
      </c>
      <c r="O463" s="2">
        <v>0</v>
      </c>
      <c r="P463" s="2">
        <v>1</v>
      </c>
      <c r="Q463" s="2">
        <v>0</v>
      </c>
      <c r="R463" s="2">
        <v>0</v>
      </c>
      <c r="S463" s="2">
        <v>0</v>
      </c>
    </row>
    <row r="464" spans="1:19" ht="51.75" x14ac:dyDescent="0.25">
      <c r="A464" s="2">
        <v>12569003</v>
      </c>
      <c r="B464" s="2" t="s">
        <v>10</v>
      </c>
      <c r="C464" s="2" t="s">
        <v>488</v>
      </c>
      <c r="D464" s="2" t="s">
        <v>488</v>
      </c>
      <c r="E464" s="2" t="s">
        <v>3006</v>
      </c>
      <c r="F464" s="2" t="s">
        <v>3727</v>
      </c>
      <c r="G464" s="2">
        <v>26137432446</v>
      </c>
      <c r="H464" s="2" t="s">
        <v>1126</v>
      </c>
      <c r="I464" s="2" t="s">
        <v>1127</v>
      </c>
      <c r="J464" s="3">
        <v>41163</v>
      </c>
      <c r="K464" s="2" t="s">
        <v>14</v>
      </c>
      <c r="L464" s="2" t="s">
        <v>1769</v>
      </c>
      <c r="M464" s="2" t="s">
        <v>1486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ht="26.25" x14ac:dyDescent="0.25">
      <c r="A465" s="2">
        <v>10532006</v>
      </c>
      <c r="B465" s="2" t="s">
        <v>10</v>
      </c>
      <c r="C465" s="2" t="s">
        <v>32</v>
      </c>
      <c r="D465" s="2" t="s">
        <v>33</v>
      </c>
      <c r="E465" s="2" t="s">
        <v>3007</v>
      </c>
      <c r="F465" s="2" t="s">
        <v>3728</v>
      </c>
      <c r="G465" s="2">
        <v>22775123470</v>
      </c>
      <c r="H465" s="2" t="s">
        <v>1128</v>
      </c>
      <c r="I465" s="2" t="s">
        <v>1129</v>
      </c>
      <c r="J465" s="3">
        <v>40443</v>
      </c>
      <c r="K465" s="2" t="s">
        <v>14</v>
      </c>
      <c r="L465" s="2" t="s">
        <v>1770</v>
      </c>
      <c r="M465" s="2" t="s">
        <v>1486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ht="26.25" x14ac:dyDescent="0.25">
      <c r="A466" s="2">
        <v>14501056</v>
      </c>
      <c r="B466" s="2" t="s">
        <v>10</v>
      </c>
      <c r="C466" s="2" t="s">
        <v>3130</v>
      </c>
      <c r="D466" s="2" t="s">
        <v>3130</v>
      </c>
      <c r="E466" s="2" t="s">
        <v>3008</v>
      </c>
      <c r="F466" s="2" t="s">
        <v>3729</v>
      </c>
      <c r="G466" s="2">
        <v>99334836904</v>
      </c>
      <c r="H466" s="2" t="s">
        <v>1130</v>
      </c>
      <c r="I466" s="2" t="s">
        <v>1131</v>
      </c>
      <c r="J466" s="3">
        <v>42037</v>
      </c>
      <c r="K466" s="2" t="s">
        <v>14</v>
      </c>
      <c r="L466" s="2" t="s">
        <v>1771</v>
      </c>
      <c r="M466" s="2" t="s">
        <v>1484</v>
      </c>
      <c r="N466" s="2">
        <v>0</v>
      </c>
      <c r="O466" s="2">
        <v>0</v>
      </c>
      <c r="P466" s="2">
        <v>0</v>
      </c>
      <c r="Q466" s="2">
        <v>0</v>
      </c>
      <c r="R466" s="2">
        <v>1</v>
      </c>
      <c r="S466" s="2">
        <v>0</v>
      </c>
    </row>
    <row r="467" spans="1:19" ht="39" x14ac:dyDescent="0.25">
      <c r="A467" s="2" t="s">
        <v>1132</v>
      </c>
      <c r="B467" s="2" t="s">
        <v>10</v>
      </c>
      <c r="C467" s="2" t="s">
        <v>3127</v>
      </c>
      <c r="D467" s="2" t="s">
        <v>3127</v>
      </c>
      <c r="E467" s="2" t="s">
        <v>3009</v>
      </c>
      <c r="F467" s="2" t="s">
        <v>3730</v>
      </c>
      <c r="G467" s="2">
        <v>41083278856</v>
      </c>
      <c r="H467" s="2" t="s">
        <v>1133</v>
      </c>
      <c r="I467" s="2" t="s">
        <v>1134</v>
      </c>
      <c r="J467" s="3">
        <v>42926</v>
      </c>
      <c r="K467" s="2" t="s">
        <v>14</v>
      </c>
      <c r="L467" s="2" t="s">
        <v>1772</v>
      </c>
      <c r="M467" s="2" t="s">
        <v>1484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 s="2">
        <v>0</v>
      </c>
    </row>
    <row r="468" spans="1:19" ht="26.25" x14ac:dyDescent="0.25">
      <c r="A468" s="2">
        <v>12533007</v>
      </c>
      <c r="B468" s="2" t="s">
        <v>10</v>
      </c>
      <c r="C468" s="2" t="s">
        <v>32</v>
      </c>
      <c r="D468" s="2" t="s">
        <v>132</v>
      </c>
      <c r="E468" s="2" t="s">
        <v>1135</v>
      </c>
      <c r="F468" s="2" t="s">
        <v>3731</v>
      </c>
      <c r="G468" s="2">
        <v>42724666940</v>
      </c>
      <c r="H468" s="2" t="s">
        <v>1136</v>
      </c>
      <c r="I468" s="2" t="s">
        <v>1137</v>
      </c>
      <c r="J468" s="3">
        <v>41171</v>
      </c>
      <c r="K468" s="2" t="s">
        <v>14</v>
      </c>
      <c r="L468" s="2" t="s">
        <v>1773</v>
      </c>
      <c r="M468" s="2" t="s">
        <v>1486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ht="26.25" x14ac:dyDescent="0.25">
      <c r="A469" s="2">
        <v>14552001</v>
      </c>
      <c r="B469" s="2" t="s">
        <v>10</v>
      </c>
      <c r="C469" s="2" t="s">
        <v>3119</v>
      </c>
      <c r="D469" s="2" t="s">
        <v>19</v>
      </c>
      <c r="E469" s="2" t="s">
        <v>3010</v>
      </c>
      <c r="F469" s="2" t="s">
        <v>3732</v>
      </c>
      <c r="G469" s="2">
        <v>10253676358</v>
      </c>
      <c r="H469" s="2" t="s">
        <v>1138</v>
      </c>
      <c r="I469" s="2" t="s">
        <v>1139</v>
      </c>
      <c r="J469" s="3">
        <v>41827</v>
      </c>
      <c r="K469" s="2" t="s">
        <v>14</v>
      </c>
      <c r="L469" s="2" t="s">
        <v>1774</v>
      </c>
      <c r="M469" s="2" t="s">
        <v>1484</v>
      </c>
      <c r="N469" s="2">
        <v>0</v>
      </c>
      <c r="O469" s="2">
        <v>0</v>
      </c>
      <c r="P469" s="2">
        <v>0</v>
      </c>
      <c r="Q469" s="2">
        <v>0</v>
      </c>
      <c r="R469" s="2">
        <v>1</v>
      </c>
      <c r="S469" s="2">
        <v>0</v>
      </c>
    </row>
    <row r="470" spans="1:19" ht="26.25" x14ac:dyDescent="0.25">
      <c r="A470" s="2">
        <v>16529003</v>
      </c>
      <c r="B470" s="2" t="s">
        <v>10</v>
      </c>
      <c r="C470" s="2" t="s">
        <v>32</v>
      </c>
      <c r="D470" s="2" t="s">
        <v>141</v>
      </c>
      <c r="E470" s="2" t="s">
        <v>3011</v>
      </c>
      <c r="F470" s="2" t="s">
        <v>3733</v>
      </c>
      <c r="G470" s="2">
        <v>22247173132</v>
      </c>
      <c r="H470" s="2" t="s">
        <v>1140</v>
      </c>
      <c r="I470" s="2" t="s">
        <v>1141</v>
      </c>
      <c r="J470" s="3">
        <v>42583</v>
      </c>
      <c r="K470" s="2" t="s">
        <v>14</v>
      </c>
      <c r="L470" s="2" t="s">
        <v>1775</v>
      </c>
      <c r="M470" s="2" t="s">
        <v>1484</v>
      </c>
      <c r="N470" s="2">
        <v>0</v>
      </c>
      <c r="O470" s="2">
        <v>0</v>
      </c>
      <c r="P470" s="2">
        <v>0</v>
      </c>
      <c r="Q470" s="2">
        <v>0</v>
      </c>
      <c r="R470" s="2">
        <v>1</v>
      </c>
      <c r="S470" s="2">
        <v>0</v>
      </c>
    </row>
    <row r="471" spans="1:19" ht="26.25" x14ac:dyDescent="0.25">
      <c r="A471" s="2">
        <v>16561005</v>
      </c>
      <c r="B471" s="2" t="s">
        <v>10</v>
      </c>
      <c r="C471" s="2" t="s">
        <v>32</v>
      </c>
      <c r="D471" s="2" t="s">
        <v>42</v>
      </c>
      <c r="E471" s="2" t="s">
        <v>3012</v>
      </c>
      <c r="F471" s="2" t="s">
        <v>3734</v>
      </c>
      <c r="G471" s="2">
        <v>22399143250</v>
      </c>
      <c r="H471" s="2" t="s">
        <v>1142</v>
      </c>
      <c r="I471" s="2" t="s">
        <v>1143</v>
      </c>
      <c r="J471" s="3">
        <v>42585</v>
      </c>
      <c r="K471" s="2" t="s">
        <v>14</v>
      </c>
      <c r="L471" s="2" t="s">
        <v>3160</v>
      </c>
      <c r="M471" s="2" t="s">
        <v>1484</v>
      </c>
      <c r="N471" s="2">
        <v>0</v>
      </c>
      <c r="O471" s="2">
        <v>0</v>
      </c>
      <c r="P471" s="2">
        <v>1</v>
      </c>
      <c r="Q471" s="2">
        <v>0</v>
      </c>
      <c r="R471" s="2">
        <v>0</v>
      </c>
      <c r="S471" s="2">
        <v>0</v>
      </c>
    </row>
    <row r="472" spans="1:19" ht="26.25" x14ac:dyDescent="0.25">
      <c r="A472" s="2">
        <v>16504021</v>
      </c>
      <c r="B472" s="2" t="s">
        <v>10</v>
      </c>
      <c r="C472" s="2" t="s">
        <v>3123</v>
      </c>
      <c r="D472" s="2" t="s">
        <v>52</v>
      </c>
      <c r="E472" s="2" t="s">
        <v>1144</v>
      </c>
      <c r="F472" s="2" t="s">
        <v>3735</v>
      </c>
      <c r="G472" s="2">
        <v>25256675918</v>
      </c>
      <c r="H472" s="2" t="s">
        <v>1145</v>
      </c>
      <c r="I472" s="2" t="s">
        <v>1146</v>
      </c>
      <c r="J472" s="3">
        <v>42614</v>
      </c>
      <c r="K472" s="2" t="s">
        <v>14</v>
      </c>
      <c r="L472" s="2" t="s">
        <v>1776</v>
      </c>
      <c r="M472" s="2" t="s">
        <v>1484</v>
      </c>
      <c r="N472" s="2">
        <v>0</v>
      </c>
      <c r="O472" s="2">
        <v>0</v>
      </c>
      <c r="P472" s="2">
        <v>1</v>
      </c>
      <c r="Q472" s="2">
        <v>0</v>
      </c>
      <c r="R472" s="2">
        <v>0</v>
      </c>
      <c r="S472" s="2">
        <v>0</v>
      </c>
    </row>
    <row r="473" spans="1:19" ht="39" x14ac:dyDescent="0.25">
      <c r="A473" s="2">
        <v>9561009</v>
      </c>
      <c r="B473" s="2" t="s">
        <v>10</v>
      </c>
      <c r="C473" s="2" t="s">
        <v>32</v>
      </c>
      <c r="D473" s="2" t="s">
        <v>42</v>
      </c>
      <c r="E473" s="2" t="s">
        <v>3013</v>
      </c>
      <c r="F473" s="2" t="s">
        <v>3736</v>
      </c>
      <c r="G473" s="2">
        <v>49540072696</v>
      </c>
      <c r="H473" s="2" t="s">
        <v>1147</v>
      </c>
      <c r="I473" s="2" t="s">
        <v>1148</v>
      </c>
      <c r="J473" s="3">
        <v>40074</v>
      </c>
      <c r="K473" s="2" t="s">
        <v>14</v>
      </c>
      <c r="L473" s="2" t="s">
        <v>3243</v>
      </c>
      <c r="M473" s="2" t="s">
        <v>1486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</row>
    <row r="474" spans="1:19" ht="26.25" x14ac:dyDescent="0.25">
      <c r="A474" s="2">
        <v>12552011</v>
      </c>
      <c r="B474" s="2" t="s">
        <v>10</v>
      </c>
      <c r="C474" s="2" t="s">
        <v>3119</v>
      </c>
      <c r="D474" s="2" t="s">
        <v>19</v>
      </c>
      <c r="E474" s="2" t="s">
        <v>1149</v>
      </c>
      <c r="F474" s="2" t="s">
        <v>3737</v>
      </c>
      <c r="G474" s="2">
        <v>20669106820</v>
      </c>
      <c r="H474" s="2" t="s">
        <v>1150</v>
      </c>
      <c r="I474" s="2" t="s">
        <v>1151</v>
      </c>
      <c r="J474" s="3">
        <v>41164</v>
      </c>
      <c r="K474" s="2" t="s">
        <v>14</v>
      </c>
      <c r="L474" s="2" t="s">
        <v>1777</v>
      </c>
      <c r="M474" s="2" t="s">
        <v>1486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ht="39" x14ac:dyDescent="0.25">
      <c r="A475" s="2">
        <v>12520304</v>
      </c>
      <c r="B475" s="2" t="s">
        <v>66</v>
      </c>
      <c r="C475" s="2" t="s">
        <v>3118</v>
      </c>
      <c r="D475" s="2" t="s">
        <v>3118</v>
      </c>
      <c r="E475" s="2" t="s">
        <v>3014</v>
      </c>
      <c r="F475" s="2" t="s">
        <v>3738</v>
      </c>
      <c r="G475" s="2">
        <v>1659013</v>
      </c>
      <c r="H475" s="2" t="s">
        <v>1152</v>
      </c>
      <c r="I475" s="2" t="s">
        <v>1153</v>
      </c>
      <c r="J475" s="3">
        <v>41331</v>
      </c>
      <c r="K475" s="2" t="s">
        <v>14</v>
      </c>
      <c r="L475" s="2" t="s">
        <v>1778</v>
      </c>
      <c r="M475" s="2" t="s">
        <v>1484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1</v>
      </c>
    </row>
    <row r="476" spans="1:19" ht="39" x14ac:dyDescent="0.25">
      <c r="A476" s="2">
        <v>16557010</v>
      </c>
      <c r="B476" s="2" t="s">
        <v>10</v>
      </c>
      <c r="C476" s="2" t="s">
        <v>209</v>
      </c>
      <c r="D476" s="2" t="s">
        <v>1154</v>
      </c>
      <c r="E476" s="2" t="s">
        <v>3015</v>
      </c>
      <c r="F476" s="2" t="s">
        <v>3739</v>
      </c>
      <c r="G476" s="2">
        <v>99071563224</v>
      </c>
      <c r="H476" s="2" t="s">
        <v>1155</v>
      </c>
      <c r="I476" s="2" t="s">
        <v>1156</v>
      </c>
      <c r="J476" s="3">
        <v>42670</v>
      </c>
      <c r="K476" s="2" t="s">
        <v>14</v>
      </c>
      <c r="L476" s="2" t="s">
        <v>1779</v>
      </c>
      <c r="M476" s="2" t="s">
        <v>1484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 s="2">
        <v>0</v>
      </c>
    </row>
    <row r="477" spans="1:19" ht="39" x14ac:dyDescent="0.25">
      <c r="A477" s="2">
        <v>16506016</v>
      </c>
      <c r="B477" s="2" t="s">
        <v>10</v>
      </c>
      <c r="C477" s="2" t="s">
        <v>3122</v>
      </c>
      <c r="D477" s="2" t="s">
        <v>3122</v>
      </c>
      <c r="E477" s="2" t="s">
        <v>3016</v>
      </c>
      <c r="F477" s="2" t="s">
        <v>3740</v>
      </c>
      <c r="G477" s="2">
        <v>10931419086</v>
      </c>
      <c r="H477" s="2" t="s">
        <v>1157</v>
      </c>
      <c r="I477" s="2" t="s">
        <v>1158</v>
      </c>
      <c r="J477" s="3">
        <v>42586</v>
      </c>
      <c r="K477" s="2" t="s">
        <v>14</v>
      </c>
      <c r="L477" s="2" t="s">
        <v>1780</v>
      </c>
      <c r="M477" s="2" t="s">
        <v>1484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1</v>
      </c>
    </row>
    <row r="478" spans="1:19" ht="26.25" x14ac:dyDescent="0.25">
      <c r="A478" s="2">
        <v>14532010</v>
      </c>
      <c r="B478" s="2" t="s">
        <v>10</v>
      </c>
      <c r="C478" s="2" t="s">
        <v>32</v>
      </c>
      <c r="D478" s="2" t="s">
        <v>33</v>
      </c>
      <c r="E478" s="2" t="s">
        <v>3017</v>
      </c>
      <c r="F478" s="2" t="s">
        <v>3741</v>
      </c>
      <c r="G478" s="2">
        <v>54655091678</v>
      </c>
      <c r="H478" s="2" t="s">
        <v>1159</v>
      </c>
      <c r="I478" s="2" t="s">
        <v>1160</v>
      </c>
      <c r="J478" s="3">
        <v>41828</v>
      </c>
      <c r="K478" s="2" t="s">
        <v>14</v>
      </c>
      <c r="L478" s="2" t="s">
        <v>1781</v>
      </c>
      <c r="M478" s="2" t="s">
        <v>1484</v>
      </c>
      <c r="N478" s="2">
        <v>0</v>
      </c>
      <c r="O478" s="2">
        <v>0</v>
      </c>
      <c r="P478" s="2">
        <v>0</v>
      </c>
      <c r="Q478" s="2">
        <v>0</v>
      </c>
      <c r="R478" s="2">
        <v>1</v>
      </c>
      <c r="S478" s="2">
        <v>0</v>
      </c>
    </row>
    <row r="479" spans="1:19" ht="39" x14ac:dyDescent="0.25">
      <c r="A479" s="2">
        <v>15543007</v>
      </c>
      <c r="B479" s="2" t="s">
        <v>10</v>
      </c>
      <c r="C479" s="2" t="s">
        <v>126</v>
      </c>
      <c r="D479" s="2" t="s">
        <v>126</v>
      </c>
      <c r="E479" s="2" t="s">
        <v>3018</v>
      </c>
      <c r="F479" s="2" t="s">
        <v>3742</v>
      </c>
      <c r="G479" s="2">
        <v>36025777412</v>
      </c>
      <c r="H479" s="2" t="s">
        <v>1161</v>
      </c>
      <c r="I479" s="2" t="s">
        <v>1162</v>
      </c>
      <c r="J479" s="3">
        <v>42186</v>
      </c>
      <c r="K479" s="2" t="s">
        <v>14</v>
      </c>
      <c r="L479" s="2" t="s">
        <v>1555</v>
      </c>
      <c r="M479" s="2" t="s">
        <v>1484</v>
      </c>
      <c r="N479" s="2">
        <v>0</v>
      </c>
      <c r="O479" s="2">
        <v>0</v>
      </c>
      <c r="P479" s="2">
        <v>0</v>
      </c>
      <c r="Q479" s="2">
        <v>0</v>
      </c>
      <c r="R479" s="2">
        <v>1</v>
      </c>
      <c r="S479" s="2">
        <v>0</v>
      </c>
    </row>
    <row r="480" spans="1:19" ht="26.25" x14ac:dyDescent="0.25">
      <c r="A480" s="2">
        <v>16561001</v>
      </c>
      <c r="B480" s="2" t="s">
        <v>10</v>
      </c>
      <c r="C480" s="2" t="s">
        <v>32</v>
      </c>
      <c r="D480" s="2" t="s">
        <v>42</v>
      </c>
      <c r="E480" s="2" t="s">
        <v>3019</v>
      </c>
      <c r="F480" s="2" t="s">
        <v>3743</v>
      </c>
      <c r="G480" s="2">
        <v>34514083198</v>
      </c>
      <c r="H480" s="2" t="s">
        <v>1163</v>
      </c>
      <c r="I480" s="2" t="s">
        <v>1164</v>
      </c>
      <c r="J480" s="3">
        <v>42583</v>
      </c>
      <c r="K480" s="2" t="s">
        <v>14</v>
      </c>
      <c r="L480" s="2" t="s">
        <v>1782</v>
      </c>
      <c r="M480" s="2" t="s">
        <v>1484</v>
      </c>
      <c r="N480" s="2">
        <v>0</v>
      </c>
      <c r="O480" s="2">
        <v>0</v>
      </c>
      <c r="P480" s="2">
        <v>1</v>
      </c>
      <c r="Q480" s="2">
        <v>0</v>
      </c>
      <c r="R480" s="2">
        <v>0</v>
      </c>
      <c r="S480" s="2">
        <v>0</v>
      </c>
    </row>
    <row r="481" spans="1:19" ht="39" x14ac:dyDescent="0.25">
      <c r="A481" s="2">
        <v>13567003</v>
      </c>
      <c r="B481" s="2" t="s">
        <v>10</v>
      </c>
      <c r="C481" s="2" t="s">
        <v>3121</v>
      </c>
      <c r="D481" s="2" t="s">
        <v>3121</v>
      </c>
      <c r="E481" s="2" t="s">
        <v>1165</v>
      </c>
      <c r="F481" s="2" t="s">
        <v>3744</v>
      </c>
      <c r="G481" s="2">
        <v>35353751002</v>
      </c>
      <c r="H481" s="2" t="s">
        <v>1166</v>
      </c>
      <c r="I481" s="2" t="s">
        <v>1167</v>
      </c>
      <c r="J481" s="3">
        <v>41460</v>
      </c>
      <c r="K481" s="2" t="s">
        <v>14</v>
      </c>
      <c r="L481" s="2" t="s">
        <v>3244</v>
      </c>
      <c r="M481" s="2" t="s">
        <v>1484</v>
      </c>
      <c r="N481" s="2">
        <v>0</v>
      </c>
      <c r="O481" s="2">
        <v>0</v>
      </c>
      <c r="P481" s="2">
        <v>0</v>
      </c>
      <c r="Q481" s="2">
        <v>0</v>
      </c>
      <c r="R481" s="2">
        <v>1</v>
      </c>
      <c r="S481" s="2">
        <v>0</v>
      </c>
    </row>
    <row r="482" spans="1:19" ht="26.25" x14ac:dyDescent="0.25">
      <c r="A482" s="2">
        <v>13505052</v>
      </c>
      <c r="B482" s="2" t="s">
        <v>66</v>
      </c>
      <c r="C482" s="2" t="s">
        <v>3123</v>
      </c>
      <c r="D482" s="2" t="s">
        <v>70</v>
      </c>
      <c r="E482" s="2" t="s">
        <v>3020</v>
      </c>
      <c r="F482" s="2" t="s">
        <v>3745</v>
      </c>
      <c r="G482" s="2">
        <v>47050293662</v>
      </c>
      <c r="H482" s="2" t="s">
        <v>1168</v>
      </c>
      <c r="I482" s="2" t="s">
        <v>1169</v>
      </c>
      <c r="J482" s="3">
        <v>41689</v>
      </c>
      <c r="K482" s="2" t="s">
        <v>14</v>
      </c>
      <c r="L482" s="2" t="s">
        <v>1783</v>
      </c>
      <c r="M482" s="2" t="s">
        <v>1484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1</v>
      </c>
    </row>
    <row r="483" spans="1:19" ht="26.25" x14ac:dyDescent="0.25">
      <c r="A483" s="2">
        <v>15550020</v>
      </c>
      <c r="B483" s="2" t="s">
        <v>10</v>
      </c>
      <c r="C483" s="2" t="s">
        <v>3120</v>
      </c>
      <c r="D483" s="2" t="s">
        <v>22</v>
      </c>
      <c r="E483" s="2" t="s">
        <v>3021</v>
      </c>
      <c r="F483" s="2" t="s">
        <v>3746</v>
      </c>
      <c r="G483" s="2">
        <v>27890406286</v>
      </c>
      <c r="H483" s="2" t="s">
        <v>1170</v>
      </c>
      <c r="I483" s="2" t="s">
        <v>1171</v>
      </c>
      <c r="J483" s="3">
        <v>42391</v>
      </c>
      <c r="K483" s="2" t="s">
        <v>14</v>
      </c>
      <c r="L483" s="2" t="s">
        <v>1784</v>
      </c>
      <c r="M483" s="2" t="s">
        <v>1484</v>
      </c>
      <c r="N483" s="2">
        <v>0</v>
      </c>
      <c r="O483" s="2">
        <v>0</v>
      </c>
      <c r="P483" s="2">
        <v>1</v>
      </c>
      <c r="Q483" s="2">
        <v>0</v>
      </c>
      <c r="R483" s="2">
        <v>0</v>
      </c>
      <c r="S483" s="2">
        <v>0</v>
      </c>
    </row>
    <row r="484" spans="1:19" ht="39" x14ac:dyDescent="0.25">
      <c r="A484" s="2">
        <v>16554042</v>
      </c>
      <c r="B484" s="2" t="s">
        <v>10</v>
      </c>
      <c r="C484" s="2" t="s">
        <v>25</v>
      </c>
      <c r="D484" s="2" t="s">
        <v>25</v>
      </c>
      <c r="E484" s="2" t="s">
        <v>3022</v>
      </c>
      <c r="F484" s="2" t="s">
        <v>3747</v>
      </c>
      <c r="G484" s="2">
        <v>32884009756</v>
      </c>
      <c r="H484" s="2" t="s">
        <v>1172</v>
      </c>
      <c r="I484" s="2"/>
      <c r="J484" s="3">
        <v>42760</v>
      </c>
      <c r="K484" s="2" t="s">
        <v>14</v>
      </c>
      <c r="L484" s="2" t="s">
        <v>1785</v>
      </c>
      <c r="M484" s="2" t="s">
        <v>1484</v>
      </c>
      <c r="N484" s="2">
        <v>0</v>
      </c>
      <c r="O484" s="2">
        <v>0</v>
      </c>
      <c r="P484" s="2">
        <v>1</v>
      </c>
      <c r="Q484" s="2">
        <v>0</v>
      </c>
      <c r="R484" s="2">
        <v>0</v>
      </c>
      <c r="S484" s="2">
        <v>0</v>
      </c>
    </row>
    <row r="485" spans="1:19" ht="26.25" x14ac:dyDescent="0.25">
      <c r="A485" s="2">
        <v>14523030</v>
      </c>
      <c r="B485" s="2" t="s">
        <v>10</v>
      </c>
      <c r="C485" s="2" t="s">
        <v>3119</v>
      </c>
      <c r="D485" s="2" t="s">
        <v>129</v>
      </c>
      <c r="E485" s="2" t="s">
        <v>3023</v>
      </c>
      <c r="F485" s="2" t="s">
        <v>3748</v>
      </c>
      <c r="G485" s="2">
        <v>27917271590</v>
      </c>
      <c r="H485" s="2" t="s">
        <v>1173</v>
      </c>
      <c r="I485" s="2" t="s">
        <v>1174</v>
      </c>
      <c r="J485" s="3">
        <v>42041</v>
      </c>
      <c r="K485" s="2" t="s">
        <v>14</v>
      </c>
      <c r="L485" s="2" t="s">
        <v>1786</v>
      </c>
      <c r="M485" s="2" t="s">
        <v>1484</v>
      </c>
      <c r="N485" s="2">
        <v>0</v>
      </c>
      <c r="O485" s="2">
        <v>0</v>
      </c>
      <c r="P485" s="2">
        <v>0</v>
      </c>
      <c r="Q485" s="2">
        <v>0</v>
      </c>
      <c r="R485" s="2">
        <v>1</v>
      </c>
      <c r="S485" s="2">
        <v>0</v>
      </c>
    </row>
    <row r="486" spans="1:19" ht="26.25" x14ac:dyDescent="0.25">
      <c r="A486" s="2">
        <v>16534001</v>
      </c>
      <c r="B486" s="2" t="s">
        <v>10</v>
      </c>
      <c r="C486" s="2" t="s">
        <v>32</v>
      </c>
      <c r="D486" s="2" t="s">
        <v>196</v>
      </c>
      <c r="E486" s="2" t="s">
        <v>1175</v>
      </c>
      <c r="F486" s="2" t="s">
        <v>3749</v>
      </c>
      <c r="G486" s="2">
        <v>28160445820</v>
      </c>
      <c r="H486" s="2" t="s">
        <v>1176</v>
      </c>
      <c r="I486" s="2" t="s">
        <v>1177</v>
      </c>
      <c r="J486" s="3">
        <v>42583</v>
      </c>
      <c r="K486" s="2" t="s">
        <v>14</v>
      </c>
      <c r="L486" s="2" t="s">
        <v>1787</v>
      </c>
      <c r="M486" s="2" t="s">
        <v>1484</v>
      </c>
      <c r="N486" s="2">
        <v>0</v>
      </c>
      <c r="O486" s="2">
        <v>0</v>
      </c>
      <c r="P486" s="2">
        <v>1</v>
      </c>
      <c r="Q486" s="2">
        <v>0</v>
      </c>
      <c r="R486" s="2">
        <v>0</v>
      </c>
      <c r="S486" s="2">
        <v>0</v>
      </c>
    </row>
    <row r="487" spans="1:19" ht="26.25" x14ac:dyDescent="0.25">
      <c r="A487" s="2">
        <v>15501051</v>
      </c>
      <c r="B487" s="2" t="s">
        <v>10</v>
      </c>
      <c r="C487" s="2" t="s">
        <v>3130</v>
      </c>
      <c r="D487" s="2" t="s">
        <v>3130</v>
      </c>
      <c r="E487" s="2" t="s">
        <v>3024</v>
      </c>
      <c r="F487" s="2" t="s">
        <v>3750</v>
      </c>
      <c r="G487" s="2">
        <v>13877076290</v>
      </c>
      <c r="H487" s="2" t="s">
        <v>1178</v>
      </c>
      <c r="I487" s="2" t="s">
        <v>1179</v>
      </c>
      <c r="J487" s="3">
        <v>42389</v>
      </c>
      <c r="K487" s="2" t="s">
        <v>14</v>
      </c>
      <c r="L487" s="2" t="s">
        <v>1788</v>
      </c>
      <c r="M487" s="2" t="s">
        <v>1484</v>
      </c>
      <c r="N487" s="2">
        <v>0</v>
      </c>
      <c r="O487" s="2">
        <v>0</v>
      </c>
      <c r="P487" s="2">
        <v>1</v>
      </c>
      <c r="Q487" s="2">
        <v>0</v>
      </c>
      <c r="R487" s="2">
        <v>0</v>
      </c>
      <c r="S487" s="2">
        <v>0</v>
      </c>
    </row>
    <row r="488" spans="1:19" ht="51.75" x14ac:dyDescent="0.25">
      <c r="A488" s="2">
        <v>16569008</v>
      </c>
      <c r="B488" s="2" t="s">
        <v>10</v>
      </c>
      <c r="C488" s="2" t="s">
        <v>488</v>
      </c>
      <c r="D488" s="2" t="s">
        <v>488</v>
      </c>
      <c r="E488" s="2" t="s">
        <v>3025</v>
      </c>
      <c r="F488" s="2" t="s">
        <v>3751</v>
      </c>
      <c r="G488" s="2">
        <v>34588961026</v>
      </c>
      <c r="H488" s="2" t="s">
        <v>1180</v>
      </c>
      <c r="I488" s="2" t="s">
        <v>1181</v>
      </c>
      <c r="J488" s="3">
        <v>42614</v>
      </c>
      <c r="K488" s="2" t="s">
        <v>14</v>
      </c>
      <c r="L488" s="2" t="s">
        <v>1789</v>
      </c>
      <c r="M488" s="2" t="s">
        <v>1484</v>
      </c>
      <c r="N488" s="2">
        <v>0</v>
      </c>
      <c r="O488" s="2">
        <v>0</v>
      </c>
      <c r="P488" s="2">
        <v>0</v>
      </c>
      <c r="Q488" s="2">
        <v>0</v>
      </c>
      <c r="R488" s="2">
        <v>1</v>
      </c>
      <c r="S488" s="2">
        <v>0</v>
      </c>
    </row>
    <row r="489" spans="1:19" ht="39" x14ac:dyDescent="0.25">
      <c r="A489" s="2">
        <v>16518006</v>
      </c>
      <c r="B489" s="2" t="s">
        <v>10</v>
      </c>
      <c r="C489" s="2" t="s">
        <v>167</v>
      </c>
      <c r="D489" s="2" t="s">
        <v>593</v>
      </c>
      <c r="E489" s="2" t="s">
        <v>3026</v>
      </c>
      <c r="F489" s="2" t="s">
        <v>3752</v>
      </c>
      <c r="G489" s="2">
        <v>26866381572</v>
      </c>
      <c r="H489" s="2" t="s">
        <v>1182</v>
      </c>
      <c r="I489" s="2" t="s">
        <v>1183</v>
      </c>
      <c r="J489" s="3">
        <v>42585</v>
      </c>
      <c r="K489" s="2" t="s">
        <v>14</v>
      </c>
      <c r="L489" s="2" t="s">
        <v>1790</v>
      </c>
      <c r="M489" s="2" t="s">
        <v>1484</v>
      </c>
      <c r="N489" s="2">
        <v>0</v>
      </c>
      <c r="O489" s="2">
        <v>0</v>
      </c>
      <c r="P489" s="2">
        <v>0</v>
      </c>
      <c r="Q489" s="2">
        <v>0</v>
      </c>
      <c r="R489" s="2">
        <v>1</v>
      </c>
      <c r="S489" s="2">
        <v>0</v>
      </c>
    </row>
    <row r="490" spans="1:19" x14ac:dyDescent="0.25">
      <c r="A490" s="2">
        <v>15551019</v>
      </c>
      <c r="B490" s="2" t="s">
        <v>10</v>
      </c>
      <c r="C490" s="2" t="s">
        <v>3120</v>
      </c>
      <c r="D490" s="2" t="s">
        <v>1114</v>
      </c>
      <c r="E490" s="2" t="s">
        <v>3027</v>
      </c>
      <c r="F490" s="2" t="s">
        <v>3753</v>
      </c>
      <c r="G490" s="2">
        <v>11180936324</v>
      </c>
      <c r="H490" s="2" t="s">
        <v>1184</v>
      </c>
      <c r="I490" s="2" t="s">
        <v>1185</v>
      </c>
      <c r="J490" s="3">
        <v>42395</v>
      </c>
      <c r="K490" s="2" t="s">
        <v>14</v>
      </c>
      <c r="L490" s="2" t="s">
        <v>1765</v>
      </c>
      <c r="M490" s="2" t="s">
        <v>1484</v>
      </c>
      <c r="N490" s="2">
        <v>0</v>
      </c>
      <c r="O490" s="2">
        <v>0</v>
      </c>
      <c r="P490" s="2">
        <v>0</v>
      </c>
      <c r="Q490" s="2">
        <v>1</v>
      </c>
      <c r="R490" s="2">
        <v>0</v>
      </c>
      <c r="S490" s="2">
        <v>0</v>
      </c>
    </row>
    <row r="491" spans="1:19" ht="26.25" x14ac:dyDescent="0.25">
      <c r="A491" s="2">
        <v>10513103</v>
      </c>
      <c r="B491" s="2" t="s">
        <v>10</v>
      </c>
      <c r="C491" s="2" t="s">
        <v>3128</v>
      </c>
      <c r="D491" s="2" t="s">
        <v>45</v>
      </c>
      <c r="E491" s="2" t="s">
        <v>3137</v>
      </c>
      <c r="F491" s="2" t="s">
        <v>3754</v>
      </c>
      <c r="G491" s="2">
        <v>34325034914</v>
      </c>
      <c r="H491" s="2" t="s">
        <v>1186</v>
      </c>
      <c r="I491" s="2" t="s">
        <v>1187</v>
      </c>
      <c r="J491" s="3">
        <v>40584</v>
      </c>
      <c r="K491" s="2" t="s">
        <v>14</v>
      </c>
      <c r="L491" s="2" t="s">
        <v>3215</v>
      </c>
      <c r="M491" s="2" t="s">
        <v>1486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ht="39" x14ac:dyDescent="0.25">
      <c r="A492" s="2">
        <v>11535009</v>
      </c>
      <c r="B492" s="2" t="s">
        <v>10</v>
      </c>
      <c r="C492" s="2" t="s">
        <v>32</v>
      </c>
      <c r="D492" s="2" t="s">
        <v>45</v>
      </c>
      <c r="E492" s="2" t="s">
        <v>1188</v>
      </c>
      <c r="F492" s="2" t="s">
        <v>3755</v>
      </c>
      <c r="G492" s="2">
        <v>11882692412</v>
      </c>
      <c r="H492" s="2" t="s">
        <v>1189</v>
      </c>
      <c r="I492" s="2" t="s">
        <v>1190</v>
      </c>
      <c r="J492" s="3">
        <v>40812</v>
      </c>
      <c r="K492" s="2" t="s">
        <v>14</v>
      </c>
      <c r="L492" s="2" t="s">
        <v>1791</v>
      </c>
      <c r="M492" s="2" t="s">
        <v>1486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ht="39" x14ac:dyDescent="0.25">
      <c r="A493" s="2">
        <v>15550023</v>
      </c>
      <c r="B493" s="2" t="s">
        <v>10</v>
      </c>
      <c r="C493" s="2" t="s">
        <v>3120</v>
      </c>
      <c r="D493" s="2" t="s">
        <v>22</v>
      </c>
      <c r="E493" s="2" t="s">
        <v>3028</v>
      </c>
      <c r="F493" s="2" t="s">
        <v>3756</v>
      </c>
      <c r="G493" s="2">
        <v>14453799596</v>
      </c>
      <c r="H493" s="2" t="s">
        <v>1191</v>
      </c>
      <c r="I493" s="2" t="s">
        <v>1192</v>
      </c>
      <c r="J493" s="3">
        <v>42394</v>
      </c>
      <c r="K493" s="2" t="s">
        <v>14</v>
      </c>
      <c r="L493" s="2" t="s">
        <v>3245</v>
      </c>
      <c r="M493" s="2" t="s">
        <v>1484</v>
      </c>
      <c r="N493" s="2">
        <v>0</v>
      </c>
      <c r="O493" s="2">
        <v>0</v>
      </c>
      <c r="P493" s="2">
        <v>0</v>
      </c>
      <c r="Q493" s="2">
        <v>0</v>
      </c>
      <c r="R493" s="2">
        <v>1</v>
      </c>
      <c r="S493" s="2">
        <v>0</v>
      </c>
    </row>
    <row r="494" spans="1:19" ht="26.25" x14ac:dyDescent="0.25">
      <c r="A494" s="2">
        <v>6530010</v>
      </c>
      <c r="B494" s="2" t="s">
        <v>10</v>
      </c>
      <c r="C494" s="2" t="s">
        <v>32</v>
      </c>
      <c r="D494" s="2" t="s">
        <v>48</v>
      </c>
      <c r="E494" s="2" t="s">
        <v>1193</v>
      </c>
      <c r="F494" s="2" t="s">
        <v>3757</v>
      </c>
      <c r="G494" s="2">
        <v>57004147378</v>
      </c>
      <c r="H494" s="2" t="s">
        <v>1194</v>
      </c>
      <c r="I494" s="2" t="s">
        <v>1195</v>
      </c>
      <c r="J494" s="3">
        <v>38930</v>
      </c>
      <c r="K494" s="2" t="s">
        <v>14</v>
      </c>
      <c r="L494" s="2" t="s">
        <v>3162</v>
      </c>
      <c r="M494" s="2" t="s">
        <v>1486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</row>
    <row r="495" spans="1:19" ht="77.25" x14ac:dyDescent="0.25">
      <c r="A495" s="2">
        <v>14523028</v>
      </c>
      <c r="B495" s="2" t="s">
        <v>10</v>
      </c>
      <c r="C495" s="2" t="s">
        <v>3119</v>
      </c>
      <c r="D495" s="2" t="s">
        <v>129</v>
      </c>
      <c r="E495" s="2" t="s">
        <v>3029</v>
      </c>
      <c r="F495" s="2" t="s">
        <v>3758</v>
      </c>
      <c r="G495" s="2">
        <v>33875036768</v>
      </c>
      <c r="H495" s="2" t="s">
        <v>1196</v>
      </c>
      <c r="I495" s="2" t="s">
        <v>1197</v>
      </c>
      <c r="J495" s="3">
        <v>42017</v>
      </c>
      <c r="K495" s="2" t="s">
        <v>14</v>
      </c>
      <c r="L495" s="2" t="s">
        <v>1732</v>
      </c>
      <c r="M495" s="2" t="s">
        <v>1484</v>
      </c>
      <c r="N495" s="2">
        <v>0</v>
      </c>
      <c r="O495" s="2">
        <v>0</v>
      </c>
      <c r="P495" s="2">
        <v>0</v>
      </c>
      <c r="Q495" s="2">
        <v>0</v>
      </c>
      <c r="R495" s="2">
        <v>1</v>
      </c>
      <c r="S495" s="2">
        <v>0</v>
      </c>
    </row>
    <row r="496" spans="1:19" ht="26.25" x14ac:dyDescent="0.25">
      <c r="A496" s="2">
        <v>13525017</v>
      </c>
      <c r="B496" s="2" t="s">
        <v>66</v>
      </c>
      <c r="C496" s="2" t="s">
        <v>105</v>
      </c>
      <c r="D496" s="2" t="s">
        <v>105</v>
      </c>
      <c r="E496" s="2" t="s">
        <v>3030</v>
      </c>
      <c r="F496" s="2" t="s">
        <v>3759</v>
      </c>
      <c r="G496" s="2">
        <v>12838997940</v>
      </c>
      <c r="H496" s="2" t="s">
        <v>1198</v>
      </c>
      <c r="I496" s="2" t="s">
        <v>1199</v>
      </c>
      <c r="J496" s="3">
        <v>41520</v>
      </c>
      <c r="K496" s="2" t="s">
        <v>14</v>
      </c>
      <c r="L496" s="2" t="s">
        <v>3246</v>
      </c>
      <c r="M496" s="2" t="s">
        <v>1484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1</v>
      </c>
    </row>
    <row r="497" spans="1:19" ht="39" x14ac:dyDescent="0.25">
      <c r="A497" s="2">
        <v>17557003</v>
      </c>
      <c r="B497" s="2" t="s">
        <v>10</v>
      </c>
      <c r="C497" s="2" t="s">
        <v>209</v>
      </c>
      <c r="D497" s="2" t="s">
        <v>325</v>
      </c>
      <c r="E497" s="2" t="s">
        <v>3031</v>
      </c>
      <c r="F497" s="2" t="s">
        <v>3760</v>
      </c>
      <c r="G497" s="2">
        <v>55597439344</v>
      </c>
      <c r="H497" s="2" t="s">
        <v>1200</v>
      </c>
      <c r="I497" s="2" t="s">
        <v>1201</v>
      </c>
      <c r="J497" s="3">
        <v>42922</v>
      </c>
      <c r="K497" s="2" t="s">
        <v>14</v>
      </c>
      <c r="L497" s="2" t="s">
        <v>3170</v>
      </c>
      <c r="M497" s="2" t="s">
        <v>1484</v>
      </c>
      <c r="N497" s="2">
        <v>0</v>
      </c>
      <c r="O497" s="2">
        <v>0</v>
      </c>
      <c r="P497" s="2">
        <v>1</v>
      </c>
      <c r="Q497" s="2">
        <v>0</v>
      </c>
      <c r="R497" s="2">
        <v>0</v>
      </c>
      <c r="S497" s="2">
        <v>0</v>
      </c>
    </row>
    <row r="498" spans="1:19" ht="26.25" x14ac:dyDescent="0.25">
      <c r="A498" s="2">
        <v>14506030</v>
      </c>
      <c r="B498" s="2" t="s">
        <v>10</v>
      </c>
      <c r="C498" s="2" t="s">
        <v>3122</v>
      </c>
      <c r="D498" s="2" t="s">
        <v>3122</v>
      </c>
      <c r="E498" s="2" t="s">
        <v>3032</v>
      </c>
      <c r="F498" s="2" t="s">
        <v>3761</v>
      </c>
      <c r="G498" s="2">
        <v>53365202220</v>
      </c>
      <c r="H498" s="2" t="s">
        <v>1202</v>
      </c>
      <c r="I498" s="2" t="s">
        <v>1203</v>
      </c>
      <c r="J498" s="3">
        <v>41886</v>
      </c>
      <c r="K498" s="2" t="s">
        <v>14</v>
      </c>
      <c r="L498" s="2" t="s">
        <v>1792</v>
      </c>
      <c r="M498" s="2" t="s">
        <v>1484</v>
      </c>
      <c r="N498" s="2">
        <v>0</v>
      </c>
      <c r="O498" s="2">
        <v>1</v>
      </c>
      <c r="P498" s="2">
        <v>0</v>
      </c>
      <c r="Q498" s="2">
        <v>0</v>
      </c>
      <c r="R498" s="2">
        <v>0</v>
      </c>
      <c r="S498" s="2">
        <v>0</v>
      </c>
    </row>
    <row r="499" spans="1:19" ht="39" x14ac:dyDescent="0.25">
      <c r="A499" s="2">
        <v>15543019</v>
      </c>
      <c r="B499" s="2" t="s">
        <v>10</v>
      </c>
      <c r="C499" s="2" t="s">
        <v>126</v>
      </c>
      <c r="D499" s="2" t="s">
        <v>126</v>
      </c>
      <c r="E499" s="2" t="s">
        <v>1204</v>
      </c>
      <c r="F499" s="2" t="s">
        <v>3762</v>
      </c>
      <c r="G499" s="2">
        <v>28081321050</v>
      </c>
      <c r="H499" s="2" t="s">
        <v>1205</v>
      </c>
      <c r="I499" s="2" t="s">
        <v>1206</v>
      </c>
      <c r="J499" s="3">
        <v>42192</v>
      </c>
      <c r="K499" s="2" t="s">
        <v>158</v>
      </c>
      <c r="L499" s="2" t="s">
        <v>1793</v>
      </c>
      <c r="M499" s="2" t="s">
        <v>1484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1</v>
      </c>
    </row>
    <row r="500" spans="1:19" ht="26.25" x14ac:dyDescent="0.25">
      <c r="A500" s="2">
        <v>13505015</v>
      </c>
      <c r="B500" s="2" t="s">
        <v>10</v>
      </c>
      <c r="C500" s="2" t="s">
        <v>3123</v>
      </c>
      <c r="D500" s="2" t="s">
        <v>3138</v>
      </c>
      <c r="E500" s="2" t="s">
        <v>1207</v>
      </c>
      <c r="F500" s="2" t="s">
        <v>3763</v>
      </c>
      <c r="G500" s="2">
        <v>22376575074</v>
      </c>
      <c r="H500" s="2" t="s">
        <v>1208</v>
      </c>
      <c r="I500" s="2" t="s">
        <v>1209</v>
      </c>
      <c r="J500" s="3">
        <v>41463</v>
      </c>
      <c r="K500" s="2" t="s">
        <v>14</v>
      </c>
      <c r="L500" s="2" t="s">
        <v>1783</v>
      </c>
      <c r="M500" s="2" t="s">
        <v>1484</v>
      </c>
      <c r="N500" s="2">
        <v>0</v>
      </c>
      <c r="O500" s="2">
        <v>0</v>
      </c>
      <c r="P500" s="2">
        <v>0</v>
      </c>
      <c r="Q500" s="2">
        <v>0</v>
      </c>
      <c r="R500" s="2">
        <v>1</v>
      </c>
      <c r="S500" s="2">
        <v>0</v>
      </c>
    </row>
    <row r="501" spans="1:19" ht="26.25" x14ac:dyDescent="0.25">
      <c r="A501" s="2">
        <v>13526005</v>
      </c>
      <c r="B501" s="2" t="s">
        <v>10</v>
      </c>
      <c r="C501" s="2" t="s">
        <v>3134</v>
      </c>
      <c r="D501" s="2" t="s">
        <v>3134</v>
      </c>
      <c r="E501" s="2" t="s">
        <v>3033</v>
      </c>
      <c r="F501" s="2" t="s">
        <v>3764</v>
      </c>
      <c r="G501" s="2">
        <v>43591435172</v>
      </c>
      <c r="H501" s="2" t="s">
        <v>1210</v>
      </c>
      <c r="I501" s="2" t="s">
        <v>1211</v>
      </c>
      <c r="J501" s="3">
        <v>41464</v>
      </c>
      <c r="K501" s="2" t="s">
        <v>14</v>
      </c>
      <c r="L501" s="2" t="s">
        <v>1794</v>
      </c>
      <c r="M501" s="2" t="s">
        <v>1484</v>
      </c>
      <c r="N501" s="2">
        <v>0</v>
      </c>
      <c r="O501" s="2">
        <v>0</v>
      </c>
      <c r="P501" s="2">
        <v>0</v>
      </c>
      <c r="Q501" s="2">
        <v>0</v>
      </c>
      <c r="R501" s="2">
        <v>1</v>
      </c>
      <c r="S501" s="2">
        <v>0</v>
      </c>
    </row>
    <row r="502" spans="1:19" ht="26.25" x14ac:dyDescent="0.25">
      <c r="A502" s="2">
        <v>13552012</v>
      </c>
      <c r="B502" s="2" t="s">
        <v>10</v>
      </c>
      <c r="C502" s="2" t="s">
        <v>3119</v>
      </c>
      <c r="D502" s="2" t="s">
        <v>19</v>
      </c>
      <c r="E502" s="2" t="s">
        <v>3034</v>
      </c>
      <c r="F502" s="2" t="s">
        <v>3765</v>
      </c>
      <c r="G502" s="2">
        <v>20347860358</v>
      </c>
      <c r="H502" s="2" t="s">
        <v>1212</v>
      </c>
      <c r="I502" s="2" t="s">
        <v>1213</v>
      </c>
      <c r="J502" s="3">
        <v>41523</v>
      </c>
      <c r="K502" s="2" t="s">
        <v>14</v>
      </c>
      <c r="L502" s="2" t="s">
        <v>3247</v>
      </c>
      <c r="M502" s="2" t="s">
        <v>1484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  <c r="S502" s="2">
        <v>0</v>
      </c>
    </row>
    <row r="503" spans="1:19" ht="26.25" x14ac:dyDescent="0.25">
      <c r="A503" s="2">
        <v>15526014</v>
      </c>
      <c r="B503" s="2" t="s">
        <v>10</v>
      </c>
      <c r="C503" s="2" t="s">
        <v>3134</v>
      </c>
      <c r="D503" s="2" t="s">
        <v>3134</v>
      </c>
      <c r="E503" s="2" t="s">
        <v>3035</v>
      </c>
      <c r="F503" s="2" t="s">
        <v>3766</v>
      </c>
      <c r="G503" s="2">
        <v>27628998090</v>
      </c>
      <c r="H503" s="2" t="s">
        <v>1214</v>
      </c>
      <c r="I503" s="2" t="s">
        <v>1215</v>
      </c>
      <c r="J503" s="3">
        <v>42188</v>
      </c>
      <c r="K503" s="2" t="s">
        <v>14</v>
      </c>
      <c r="L503" s="2" t="s">
        <v>1795</v>
      </c>
      <c r="M503" s="2" t="s">
        <v>1484</v>
      </c>
      <c r="N503" s="2">
        <v>0</v>
      </c>
      <c r="O503" s="2">
        <v>0</v>
      </c>
      <c r="P503" s="2">
        <v>0</v>
      </c>
      <c r="Q503" s="2">
        <v>0</v>
      </c>
      <c r="R503" s="2">
        <v>1</v>
      </c>
      <c r="S503" s="2">
        <v>0</v>
      </c>
    </row>
    <row r="504" spans="1:19" ht="39" x14ac:dyDescent="0.25">
      <c r="A504" s="2">
        <v>15527014</v>
      </c>
      <c r="B504" s="2" t="s">
        <v>10</v>
      </c>
      <c r="C504" s="2" t="s">
        <v>3124</v>
      </c>
      <c r="D504" s="2" t="s">
        <v>63</v>
      </c>
      <c r="E504" s="2" t="s">
        <v>3036</v>
      </c>
      <c r="F504" s="2" t="s">
        <v>3767</v>
      </c>
      <c r="G504" s="2">
        <v>25232060202</v>
      </c>
      <c r="H504" s="2" t="s">
        <v>1216</v>
      </c>
      <c r="I504" s="2" t="s">
        <v>1217</v>
      </c>
      <c r="J504" s="3">
        <v>42191</v>
      </c>
      <c r="K504" s="2" t="s">
        <v>14</v>
      </c>
      <c r="L504" s="2" t="s">
        <v>3248</v>
      </c>
      <c r="M504" s="2" t="s">
        <v>1484</v>
      </c>
      <c r="N504" s="2">
        <v>0</v>
      </c>
      <c r="O504" s="2">
        <v>0</v>
      </c>
      <c r="P504" s="2">
        <v>0</v>
      </c>
      <c r="Q504" s="2">
        <v>0</v>
      </c>
      <c r="R504" s="2">
        <v>1</v>
      </c>
      <c r="S504" s="2">
        <v>0</v>
      </c>
    </row>
    <row r="505" spans="1:19" ht="26.25" x14ac:dyDescent="0.25">
      <c r="A505" s="2">
        <v>15508032</v>
      </c>
      <c r="B505" s="2" t="s">
        <v>10</v>
      </c>
      <c r="C505" s="2" t="s">
        <v>3142</v>
      </c>
      <c r="D505" s="2" t="s">
        <v>3142</v>
      </c>
      <c r="E505" s="2" t="s">
        <v>3037</v>
      </c>
      <c r="F505" s="2" t="s">
        <v>3768</v>
      </c>
      <c r="G505" s="2">
        <v>10684199334</v>
      </c>
      <c r="H505" s="2" t="s">
        <v>1218</v>
      </c>
      <c r="I505" s="2" t="s">
        <v>1219</v>
      </c>
      <c r="J505" s="3">
        <v>42394</v>
      </c>
      <c r="K505" s="2" t="s">
        <v>14</v>
      </c>
      <c r="L505" s="2" t="s">
        <v>1796</v>
      </c>
      <c r="M505" s="2" t="s">
        <v>1484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1</v>
      </c>
    </row>
    <row r="506" spans="1:19" ht="26.25" x14ac:dyDescent="0.25">
      <c r="A506" s="2">
        <v>15534015</v>
      </c>
      <c r="B506" s="2" t="s">
        <v>10</v>
      </c>
      <c r="C506" s="2" t="s">
        <v>32</v>
      </c>
      <c r="D506" s="2" t="s">
        <v>196</v>
      </c>
      <c r="E506" s="2" t="s">
        <v>1220</v>
      </c>
      <c r="F506" s="2" t="s">
        <v>3769</v>
      </c>
      <c r="G506" s="2">
        <v>62968161582</v>
      </c>
      <c r="H506" s="2" t="s">
        <v>1221</v>
      </c>
      <c r="I506" s="2" t="s">
        <v>1222</v>
      </c>
      <c r="J506" s="3">
        <v>42188</v>
      </c>
      <c r="K506" s="2" t="s">
        <v>14</v>
      </c>
      <c r="L506" s="2" t="s">
        <v>1530</v>
      </c>
      <c r="M506" s="2" t="s">
        <v>1484</v>
      </c>
      <c r="N506" s="2">
        <v>0</v>
      </c>
      <c r="O506" s="2">
        <v>0</v>
      </c>
      <c r="P506" s="2">
        <v>1</v>
      </c>
      <c r="Q506" s="2">
        <v>0</v>
      </c>
      <c r="R506" s="2">
        <v>0</v>
      </c>
      <c r="S506" s="2">
        <v>0</v>
      </c>
    </row>
    <row r="507" spans="1:19" ht="26.25" x14ac:dyDescent="0.25">
      <c r="A507" s="2">
        <v>12508009</v>
      </c>
      <c r="B507" s="2" t="s">
        <v>10</v>
      </c>
      <c r="C507" s="2" t="s">
        <v>3142</v>
      </c>
      <c r="D507" s="2" t="s">
        <v>3142</v>
      </c>
      <c r="E507" s="2" t="s">
        <v>3038</v>
      </c>
      <c r="F507" s="2" t="s">
        <v>3770</v>
      </c>
      <c r="G507" s="2">
        <v>13542070608</v>
      </c>
      <c r="H507" s="2" t="s">
        <v>1223</v>
      </c>
      <c r="I507" s="2" t="s">
        <v>1224</v>
      </c>
      <c r="J507" s="3">
        <v>41164</v>
      </c>
      <c r="K507" s="2" t="s">
        <v>14</v>
      </c>
      <c r="L507" s="2" t="s">
        <v>1797</v>
      </c>
      <c r="M507" s="2" t="s">
        <v>1486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ht="51.75" x14ac:dyDescent="0.25">
      <c r="A508" s="2">
        <v>16520010</v>
      </c>
      <c r="B508" s="2" t="s">
        <v>10</v>
      </c>
      <c r="C508" s="2" t="s">
        <v>3118</v>
      </c>
      <c r="D508" s="2" t="s">
        <v>3118</v>
      </c>
      <c r="E508" s="2" t="s">
        <v>3039</v>
      </c>
      <c r="F508" s="2" t="s">
        <v>3771</v>
      </c>
      <c r="G508" s="2">
        <v>57043491036</v>
      </c>
      <c r="H508" s="2" t="s">
        <v>1225</v>
      </c>
      <c r="I508" s="2" t="s">
        <v>1226</v>
      </c>
      <c r="J508" s="3">
        <v>42584</v>
      </c>
      <c r="K508" s="2" t="s">
        <v>14</v>
      </c>
      <c r="L508" s="2" t="s">
        <v>3249</v>
      </c>
      <c r="M508" s="2" t="s">
        <v>1484</v>
      </c>
      <c r="N508" s="2">
        <v>0</v>
      </c>
      <c r="O508" s="2">
        <v>0</v>
      </c>
      <c r="P508" s="2">
        <v>1</v>
      </c>
      <c r="Q508" s="2">
        <v>0</v>
      </c>
      <c r="R508" s="2">
        <v>0</v>
      </c>
      <c r="S508" s="2">
        <v>0</v>
      </c>
    </row>
    <row r="509" spans="1:19" ht="26.25" x14ac:dyDescent="0.25">
      <c r="A509" s="2">
        <v>15520052</v>
      </c>
      <c r="B509" s="2" t="s">
        <v>10</v>
      </c>
      <c r="C509" s="2" t="s">
        <v>3118</v>
      </c>
      <c r="D509" s="2" t="s">
        <v>3118</v>
      </c>
      <c r="E509" s="2" t="s">
        <v>3040</v>
      </c>
      <c r="F509" s="2" t="s">
        <v>3772</v>
      </c>
      <c r="G509" s="2">
        <v>18446686856</v>
      </c>
      <c r="H509" s="2" t="s">
        <v>1227</v>
      </c>
      <c r="I509" s="2" t="s">
        <v>1228</v>
      </c>
      <c r="J509" s="3">
        <v>42391</v>
      </c>
      <c r="K509" s="2" t="s">
        <v>14</v>
      </c>
      <c r="L509" s="2" t="s">
        <v>1798</v>
      </c>
      <c r="M509" s="2" t="s">
        <v>1484</v>
      </c>
      <c r="N509" s="2">
        <v>0</v>
      </c>
      <c r="O509" s="2">
        <v>0</v>
      </c>
      <c r="P509" s="2">
        <v>0</v>
      </c>
      <c r="Q509" s="2">
        <v>0</v>
      </c>
      <c r="R509" s="2">
        <v>1</v>
      </c>
      <c r="S509" s="2">
        <v>0</v>
      </c>
    </row>
    <row r="510" spans="1:19" ht="26.25" x14ac:dyDescent="0.25">
      <c r="A510" s="2">
        <v>16505046</v>
      </c>
      <c r="B510" s="2" t="s">
        <v>10</v>
      </c>
      <c r="C510" s="2" t="s">
        <v>3123</v>
      </c>
      <c r="D510" s="2" t="s">
        <v>70</v>
      </c>
      <c r="E510" s="2" t="s">
        <v>1229</v>
      </c>
      <c r="F510" s="2" t="s">
        <v>3773</v>
      </c>
      <c r="G510" s="2">
        <v>22229444212</v>
      </c>
      <c r="H510" s="2" t="s">
        <v>1230</v>
      </c>
      <c r="I510" s="2" t="s">
        <v>1231</v>
      </c>
      <c r="J510" s="3">
        <v>42587</v>
      </c>
      <c r="K510" s="2" t="s">
        <v>14</v>
      </c>
      <c r="L510" s="2" t="s">
        <v>3250</v>
      </c>
      <c r="M510" s="2" t="s">
        <v>1484</v>
      </c>
      <c r="N510" s="2">
        <v>0</v>
      </c>
      <c r="O510" s="2">
        <v>0</v>
      </c>
      <c r="P510" s="2">
        <v>0</v>
      </c>
      <c r="Q510" s="2">
        <v>0</v>
      </c>
      <c r="R510" s="2">
        <v>1</v>
      </c>
      <c r="S510" s="2">
        <v>0</v>
      </c>
    </row>
    <row r="511" spans="1:19" ht="39" x14ac:dyDescent="0.25">
      <c r="A511" s="2">
        <v>14543017</v>
      </c>
      <c r="B511" s="2" t="s">
        <v>66</v>
      </c>
      <c r="C511" s="2" t="s">
        <v>126</v>
      </c>
      <c r="D511" s="2" t="s">
        <v>126</v>
      </c>
      <c r="E511" s="2" t="s">
        <v>3041</v>
      </c>
      <c r="F511" s="2" t="s">
        <v>3774</v>
      </c>
      <c r="G511" s="2">
        <v>24655340830</v>
      </c>
      <c r="H511" s="2" t="s">
        <v>1232</v>
      </c>
      <c r="I511" s="2" t="s">
        <v>1233</v>
      </c>
      <c r="J511" s="3">
        <v>41989</v>
      </c>
      <c r="K511" s="2" t="s">
        <v>14</v>
      </c>
      <c r="L511" s="2" t="s">
        <v>1799</v>
      </c>
      <c r="M511" s="2" t="s">
        <v>1484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1</v>
      </c>
    </row>
    <row r="512" spans="1:19" x14ac:dyDescent="0.25">
      <c r="A512" s="2">
        <v>15505062</v>
      </c>
      <c r="B512" s="2" t="s">
        <v>10</v>
      </c>
      <c r="C512" s="2" t="s">
        <v>3123</v>
      </c>
      <c r="D512" s="2" t="s">
        <v>70</v>
      </c>
      <c r="E512" s="2" t="s">
        <v>1234</v>
      </c>
      <c r="F512" s="2" t="s">
        <v>3775</v>
      </c>
      <c r="G512" s="2">
        <v>27698109440</v>
      </c>
      <c r="H512" s="2" t="s">
        <v>1235</v>
      </c>
      <c r="I512" s="2" t="s">
        <v>1236</v>
      </c>
      <c r="J512" s="3">
        <v>42391</v>
      </c>
      <c r="K512" s="2" t="s">
        <v>14</v>
      </c>
      <c r="L512" s="2" t="s">
        <v>3250</v>
      </c>
      <c r="M512" s="2" t="s">
        <v>1484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0</v>
      </c>
    </row>
    <row r="513" spans="1:19" ht="51.75" x14ac:dyDescent="0.25">
      <c r="A513" s="2">
        <v>15521011</v>
      </c>
      <c r="B513" s="2" t="s">
        <v>10</v>
      </c>
      <c r="C513" s="2" t="s">
        <v>3119</v>
      </c>
      <c r="D513" s="2" t="s">
        <v>229</v>
      </c>
      <c r="E513" s="2" t="s">
        <v>3042</v>
      </c>
      <c r="F513" s="2" t="s">
        <v>3776</v>
      </c>
      <c r="G513" s="2">
        <v>33283061994</v>
      </c>
      <c r="H513" s="2" t="s">
        <v>1237</v>
      </c>
      <c r="I513" s="2" t="s">
        <v>1238</v>
      </c>
      <c r="J513" s="3">
        <v>42185</v>
      </c>
      <c r="K513" s="2" t="s">
        <v>14</v>
      </c>
      <c r="L513" s="2" t="s">
        <v>3251</v>
      </c>
      <c r="M513" s="2" t="s">
        <v>1484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1</v>
      </c>
    </row>
    <row r="514" spans="1:19" ht="39" x14ac:dyDescent="0.25">
      <c r="A514" s="2">
        <v>10551011</v>
      </c>
      <c r="B514" s="2" t="s">
        <v>10</v>
      </c>
      <c r="C514" s="2" t="s">
        <v>3120</v>
      </c>
      <c r="D514" s="2" t="s">
        <v>1114</v>
      </c>
      <c r="E514" s="2" t="s">
        <v>3043</v>
      </c>
      <c r="F514" s="2" t="s">
        <v>3777</v>
      </c>
      <c r="G514" s="2">
        <v>56500230720</v>
      </c>
      <c r="H514" s="2" t="s">
        <v>1239</v>
      </c>
      <c r="I514" s="2" t="s">
        <v>1240</v>
      </c>
      <c r="J514" s="3">
        <v>40437</v>
      </c>
      <c r="K514" s="2" t="s">
        <v>14</v>
      </c>
      <c r="L514" s="2" t="s">
        <v>1765</v>
      </c>
      <c r="M514" s="2" t="s">
        <v>1486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ht="39" x14ac:dyDescent="0.25">
      <c r="A515" s="2">
        <v>14556007</v>
      </c>
      <c r="B515" s="2" t="s">
        <v>10</v>
      </c>
      <c r="C515" s="2" t="s">
        <v>209</v>
      </c>
      <c r="D515" s="2" t="s">
        <v>477</v>
      </c>
      <c r="E515" s="2" t="s">
        <v>3044</v>
      </c>
      <c r="F515" s="2" t="s">
        <v>3778</v>
      </c>
      <c r="G515" s="2">
        <v>18956158676</v>
      </c>
      <c r="H515" s="2" t="s">
        <v>1241</v>
      </c>
      <c r="I515" s="2" t="s">
        <v>1242</v>
      </c>
      <c r="J515" s="3">
        <v>42018</v>
      </c>
      <c r="K515" s="2" t="s">
        <v>14</v>
      </c>
      <c r="L515" s="2" t="s">
        <v>1800</v>
      </c>
      <c r="M515" s="2" t="s">
        <v>1484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1</v>
      </c>
    </row>
    <row r="516" spans="1:19" ht="26.25" x14ac:dyDescent="0.25">
      <c r="A516" s="2">
        <v>15568026</v>
      </c>
      <c r="B516" s="2" t="s">
        <v>10</v>
      </c>
      <c r="C516" s="2" t="s">
        <v>3125</v>
      </c>
      <c r="D516" s="2" t="s">
        <v>3125</v>
      </c>
      <c r="E516" s="2" t="s">
        <v>3045</v>
      </c>
      <c r="F516" s="2" t="s">
        <v>3779</v>
      </c>
      <c r="G516" s="2">
        <v>20777231414</v>
      </c>
      <c r="H516" s="2" t="s">
        <v>1243</v>
      </c>
      <c r="I516" s="2" t="s">
        <v>1244</v>
      </c>
      <c r="J516" s="3">
        <v>42391</v>
      </c>
      <c r="K516" s="2" t="s">
        <v>14</v>
      </c>
      <c r="L516" s="2" t="s">
        <v>1801</v>
      </c>
      <c r="M516" s="2" t="s">
        <v>1484</v>
      </c>
      <c r="N516" s="2">
        <v>0</v>
      </c>
      <c r="O516" s="2">
        <v>0</v>
      </c>
      <c r="P516" s="2">
        <v>0</v>
      </c>
      <c r="Q516" s="2">
        <v>0</v>
      </c>
      <c r="R516" s="2">
        <v>1</v>
      </c>
      <c r="S516" s="2">
        <v>0</v>
      </c>
    </row>
    <row r="517" spans="1:19" ht="39" x14ac:dyDescent="0.25">
      <c r="A517" s="2">
        <v>13534001</v>
      </c>
      <c r="B517" s="2" t="s">
        <v>10</v>
      </c>
      <c r="C517" s="2" t="s">
        <v>32</v>
      </c>
      <c r="D517" s="2" t="s">
        <v>196</v>
      </c>
      <c r="E517" s="2" t="s">
        <v>3046</v>
      </c>
      <c r="F517" s="2" t="s">
        <v>3780</v>
      </c>
      <c r="G517" s="2">
        <v>16867542492</v>
      </c>
      <c r="H517" s="2" t="s">
        <v>1245</v>
      </c>
      <c r="I517" s="2" t="s">
        <v>1246</v>
      </c>
      <c r="J517" s="3">
        <v>41459</v>
      </c>
      <c r="K517" s="2" t="s">
        <v>14</v>
      </c>
      <c r="L517" s="2" t="s">
        <v>1802</v>
      </c>
      <c r="M517" s="2" t="s">
        <v>1484</v>
      </c>
      <c r="N517" s="2">
        <v>0</v>
      </c>
      <c r="O517" s="2">
        <v>0</v>
      </c>
      <c r="P517" s="2">
        <v>0</v>
      </c>
      <c r="Q517" s="2">
        <v>0</v>
      </c>
      <c r="R517" s="2">
        <v>1</v>
      </c>
      <c r="S517" s="2">
        <v>0</v>
      </c>
    </row>
    <row r="518" spans="1:19" ht="26.25" x14ac:dyDescent="0.25">
      <c r="A518" s="2">
        <v>17554024</v>
      </c>
      <c r="B518" s="2" t="s">
        <v>10</v>
      </c>
      <c r="C518" s="2" t="s">
        <v>25</v>
      </c>
      <c r="D518" s="2" t="s">
        <v>25</v>
      </c>
      <c r="E518" s="2" t="s">
        <v>1247</v>
      </c>
      <c r="F518" s="2" t="s">
        <v>3781</v>
      </c>
      <c r="G518" s="2">
        <v>21445643942</v>
      </c>
      <c r="H518" s="2" t="s">
        <v>1248</v>
      </c>
      <c r="I518" s="2" t="s">
        <v>1249</v>
      </c>
      <c r="J518" s="3">
        <v>42922</v>
      </c>
      <c r="K518" s="2" t="s">
        <v>14</v>
      </c>
      <c r="L518" s="2" t="s">
        <v>1803</v>
      </c>
      <c r="M518" s="2" t="s">
        <v>1484</v>
      </c>
      <c r="N518" s="2">
        <v>0</v>
      </c>
      <c r="O518" s="2">
        <v>0</v>
      </c>
      <c r="P518" s="2">
        <v>1</v>
      </c>
      <c r="Q518" s="2">
        <v>0</v>
      </c>
      <c r="R518" s="2">
        <v>0</v>
      </c>
      <c r="S518" s="2">
        <v>0</v>
      </c>
    </row>
    <row r="519" spans="1:19" ht="39" x14ac:dyDescent="0.25">
      <c r="A519" s="2">
        <v>12507013</v>
      </c>
      <c r="B519" s="2" t="s">
        <v>10</v>
      </c>
      <c r="C519" s="2" t="s">
        <v>67</v>
      </c>
      <c r="D519" s="2" t="s">
        <v>67</v>
      </c>
      <c r="E519" s="2" t="s">
        <v>3047</v>
      </c>
      <c r="F519" s="2" t="s">
        <v>3782</v>
      </c>
      <c r="G519" s="2">
        <v>56476600510</v>
      </c>
      <c r="H519" s="2" t="s">
        <v>1250</v>
      </c>
      <c r="I519" s="2" t="s">
        <v>1251</v>
      </c>
      <c r="J519" s="3">
        <v>41165</v>
      </c>
      <c r="K519" s="2" t="s">
        <v>14</v>
      </c>
      <c r="L519" s="2" t="s">
        <v>1804</v>
      </c>
      <c r="M519" s="2" t="s">
        <v>1486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ht="51.75" x14ac:dyDescent="0.25">
      <c r="A520" s="2">
        <v>15506026</v>
      </c>
      <c r="B520" s="2" t="s">
        <v>10</v>
      </c>
      <c r="C520" s="2" t="s">
        <v>3122</v>
      </c>
      <c r="D520" s="2" t="s">
        <v>3122</v>
      </c>
      <c r="E520" s="2" t="s">
        <v>3048</v>
      </c>
      <c r="F520" s="2" t="s">
        <v>3783</v>
      </c>
      <c r="G520" s="2">
        <v>10570815546</v>
      </c>
      <c r="H520" s="2" t="s">
        <v>1252</v>
      </c>
      <c r="I520" s="2" t="s">
        <v>1253</v>
      </c>
      <c r="J520" s="3">
        <v>42244</v>
      </c>
      <c r="K520" s="2" t="s">
        <v>14</v>
      </c>
      <c r="L520" s="2" t="s">
        <v>1805</v>
      </c>
      <c r="M520" s="2" t="s">
        <v>1484</v>
      </c>
      <c r="N520" s="2">
        <v>0</v>
      </c>
      <c r="O520" s="2">
        <v>0</v>
      </c>
      <c r="P520" s="2">
        <v>0</v>
      </c>
      <c r="Q520" s="2">
        <v>0</v>
      </c>
      <c r="R520" s="2">
        <v>1</v>
      </c>
      <c r="S520" s="2">
        <v>0</v>
      </c>
    </row>
    <row r="521" spans="1:19" ht="51.75" x14ac:dyDescent="0.25">
      <c r="A521" s="2">
        <v>13554013</v>
      </c>
      <c r="B521" s="2" t="s">
        <v>66</v>
      </c>
      <c r="C521" s="2" t="s">
        <v>25</v>
      </c>
      <c r="D521" s="2" t="s">
        <v>25</v>
      </c>
      <c r="E521" s="2" t="s">
        <v>3049</v>
      </c>
      <c r="F521" s="2" t="s">
        <v>3784</v>
      </c>
      <c r="G521" s="2">
        <v>15101385420</v>
      </c>
      <c r="H521" s="2" t="s">
        <v>1254</v>
      </c>
      <c r="I521" s="2" t="s">
        <v>1255</v>
      </c>
      <c r="J521" s="3">
        <v>41460</v>
      </c>
      <c r="K521" s="2" t="s">
        <v>14</v>
      </c>
      <c r="L521" s="2" t="s">
        <v>1806</v>
      </c>
      <c r="M521" s="2" t="s">
        <v>1484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1</v>
      </c>
    </row>
    <row r="522" spans="1:19" x14ac:dyDescent="0.25">
      <c r="A522" s="2">
        <v>15555010</v>
      </c>
      <c r="B522" s="2" t="s">
        <v>10</v>
      </c>
      <c r="C522" s="2" t="s">
        <v>3117</v>
      </c>
      <c r="D522" s="2" t="s">
        <v>3147</v>
      </c>
      <c r="E522" s="2" t="s">
        <v>3050</v>
      </c>
      <c r="F522" s="2" t="s">
        <v>3785</v>
      </c>
      <c r="G522" s="2">
        <v>13334852818</v>
      </c>
      <c r="H522" s="2" t="s">
        <v>1256</v>
      </c>
      <c r="I522" s="2" t="s">
        <v>1257</v>
      </c>
      <c r="J522" s="3">
        <v>42191</v>
      </c>
      <c r="K522" s="2" t="s">
        <v>14</v>
      </c>
      <c r="L522" s="2" t="s">
        <v>3252</v>
      </c>
      <c r="M522" s="2" t="s">
        <v>1484</v>
      </c>
      <c r="N522" s="2">
        <v>0</v>
      </c>
      <c r="O522" s="2">
        <v>0</v>
      </c>
      <c r="P522" s="2">
        <v>0</v>
      </c>
      <c r="Q522" s="2">
        <v>0</v>
      </c>
      <c r="R522" s="2">
        <v>1</v>
      </c>
      <c r="S522" s="2">
        <v>0</v>
      </c>
    </row>
    <row r="523" spans="1:19" ht="26.25" x14ac:dyDescent="0.25">
      <c r="A523" s="2">
        <v>14501012</v>
      </c>
      <c r="B523" s="2" t="s">
        <v>10</v>
      </c>
      <c r="C523" s="2" t="s">
        <v>3130</v>
      </c>
      <c r="D523" s="2" t="s">
        <v>3130</v>
      </c>
      <c r="E523" s="2" t="s">
        <v>3051</v>
      </c>
      <c r="F523" s="2" t="s">
        <v>3786</v>
      </c>
      <c r="G523" s="2">
        <v>33092009354</v>
      </c>
      <c r="H523" s="2" t="s">
        <v>1258</v>
      </c>
      <c r="I523" s="2" t="s">
        <v>1259</v>
      </c>
      <c r="J523" s="3">
        <v>41827</v>
      </c>
      <c r="K523" s="2" t="s">
        <v>14</v>
      </c>
      <c r="L523" s="2" t="s">
        <v>3253</v>
      </c>
      <c r="M523" s="2" t="s">
        <v>1484</v>
      </c>
      <c r="N523" s="2">
        <v>0</v>
      </c>
      <c r="O523" s="2">
        <v>0</v>
      </c>
      <c r="P523" s="2">
        <v>0</v>
      </c>
      <c r="Q523" s="2">
        <v>0</v>
      </c>
      <c r="R523" s="2">
        <v>1</v>
      </c>
      <c r="S523" s="2">
        <v>0</v>
      </c>
    </row>
    <row r="524" spans="1:19" ht="26.25" x14ac:dyDescent="0.25">
      <c r="A524" s="2">
        <v>16508005</v>
      </c>
      <c r="B524" s="2" t="s">
        <v>10</v>
      </c>
      <c r="C524" s="2" t="s">
        <v>3142</v>
      </c>
      <c r="D524" s="2" t="s">
        <v>3142</v>
      </c>
      <c r="E524" s="2" t="s">
        <v>1260</v>
      </c>
      <c r="F524" s="2" t="s">
        <v>3787</v>
      </c>
      <c r="G524" s="2">
        <v>22208198518</v>
      </c>
      <c r="H524" s="2" t="s">
        <v>1261</v>
      </c>
      <c r="I524" s="2" t="s">
        <v>1262</v>
      </c>
      <c r="J524" s="3">
        <v>42584</v>
      </c>
      <c r="K524" s="2" t="s">
        <v>14</v>
      </c>
      <c r="L524" s="2" t="s">
        <v>1807</v>
      </c>
      <c r="M524" s="2" t="s">
        <v>1484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1</v>
      </c>
    </row>
    <row r="525" spans="1:19" ht="26.25" x14ac:dyDescent="0.25">
      <c r="A525" s="2">
        <v>15521006</v>
      </c>
      <c r="B525" s="2" t="s">
        <v>10</v>
      </c>
      <c r="C525" s="2" t="s">
        <v>3119</v>
      </c>
      <c r="D525" s="2" t="s">
        <v>229</v>
      </c>
      <c r="E525" s="2" t="s">
        <v>1263</v>
      </c>
      <c r="F525" s="2" t="s">
        <v>3788</v>
      </c>
      <c r="G525" s="2">
        <v>16432777984</v>
      </c>
      <c r="H525" s="2" t="s">
        <v>1264</v>
      </c>
      <c r="I525" s="2" t="s">
        <v>1265</v>
      </c>
      <c r="J525" s="3">
        <v>42181</v>
      </c>
      <c r="K525" s="2" t="s">
        <v>14</v>
      </c>
      <c r="L525" s="2" t="s">
        <v>3251</v>
      </c>
      <c r="M525" s="2" t="s">
        <v>1484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1</v>
      </c>
    </row>
    <row r="526" spans="1:19" ht="39" x14ac:dyDescent="0.25">
      <c r="A526" s="2">
        <v>16568017</v>
      </c>
      <c r="B526" s="2" t="s">
        <v>10</v>
      </c>
      <c r="C526" s="2" t="s">
        <v>3125</v>
      </c>
      <c r="D526" s="2" t="s">
        <v>3125</v>
      </c>
      <c r="E526" s="2" t="s">
        <v>3052</v>
      </c>
      <c r="F526" s="2" t="s">
        <v>3789</v>
      </c>
      <c r="G526" s="2">
        <v>51259283218</v>
      </c>
      <c r="H526" s="2" t="s">
        <v>1266</v>
      </c>
      <c r="I526" s="2" t="s">
        <v>1267</v>
      </c>
      <c r="J526" s="3">
        <v>42586</v>
      </c>
      <c r="K526" s="2" t="s">
        <v>14</v>
      </c>
      <c r="L526" s="2" t="s">
        <v>1670</v>
      </c>
      <c r="M526" s="2" t="s">
        <v>1484</v>
      </c>
      <c r="N526" s="2">
        <v>0</v>
      </c>
      <c r="O526" s="2">
        <v>0</v>
      </c>
      <c r="P526" s="2">
        <v>0</v>
      </c>
      <c r="Q526" s="2">
        <v>0</v>
      </c>
      <c r="R526" s="2">
        <v>1</v>
      </c>
      <c r="S526" s="2">
        <v>0</v>
      </c>
    </row>
    <row r="527" spans="1:19" ht="26.25" x14ac:dyDescent="0.25">
      <c r="A527" s="2">
        <v>12538001</v>
      </c>
      <c r="B527" s="2" t="s">
        <v>10</v>
      </c>
      <c r="C527" s="2" t="s">
        <v>209</v>
      </c>
      <c r="D527" s="2" t="s">
        <v>905</v>
      </c>
      <c r="E527" s="2" t="s">
        <v>3053</v>
      </c>
      <c r="F527" s="2" t="s">
        <v>3790</v>
      </c>
      <c r="G527" s="2">
        <v>34379154040</v>
      </c>
      <c r="H527" s="2" t="s">
        <v>1268</v>
      </c>
      <c r="I527" s="2" t="s">
        <v>1269</v>
      </c>
      <c r="J527" s="3">
        <v>41165</v>
      </c>
      <c r="K527" s="2" t="s">
        <v>14</v>
      </c>
      <c r="L527" s="2" t="s">
        <v>1808</v>
      </c>
      <c r="M527" s="2" t="s">
        <v>1486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ht="39" x14ac:dyDescent="0.25">
      <c r="A528" s="2">
        <v>17554007</v>
      </c>
      <c r="B528" s="2" t="s">
        <v>10</v>
      </c>
      <c r="C528" s="2" t="s">
        <v>25</v>
      </c>
      <c r="D528" s="2" t="s">
        <v>25</v>
      </c>
      <c r="E528" s="2" t="s">
        <v>3054</v>
      </c>
      <c r="F528" s="2" t="s">
        <v>3791</v>
      </c>
      <c r="G528" s="2">
        <v>24097857552</v>
      </c>
      <c r="H528" s="2" t="s">
        <v>1270</v>
      </c>
      <c r="I528" s="2" t="s">
        <v>1271</v>
      </c>
      <c r="J528" s="3">
        <v>42921</v>
      </c>
      <c r="K528" s="2" t="s">
        <v>14</v>
      </c>
      <c r="L528" s="2" t="s">
        <v>1809</v>
      </c>
      <c r="M528" s="2" t="s">
        <v>1484</v>
      </c>
      <c r="N528" s="2">
        <v>0</v>
      </c>
      <c r="O528" s="2">
        <v>0</v>
      </c>
      <c r="P528" s="2">
        <v>0</v>
      </c>
      <c r="Q528" s="2">
        <v>0</v>
      </c>
      <c r="R528" s="2">
        <v>1</v>
      </c>
      <c r="S528" s="2">
        <v>0</v>
      </c>
    </row>
    <row r="529" spans="1:19" ht="26.25" x14ac:dyDescent="0.25">
      <c r="A529" s="2">
        <v>15510001</v>
      </c>
      <c r="B529" s="2" t="s">
        <v>10</v>
      </c>
      <c r="C529" s="2" t="s">
        <v>3128</v>
      </c>
      <c r="D529" s="2" t="s">
        <v>150</v>
      </c>
      <c r="E529" s="2" t="s">
        <v>3055</v>
      </c>
      <c r="F529" s="2" t="s">
        <v>3792</v>
      </c>
      <c r="G529" s="2">
        <v>14183874242</v>
      </c>
      <c r="H529" s="2" t="s">
        <v>1272</v>
      </c>
      <c r="I529" s="2" t="s">
        <v>1273</v>
      </c>
      <c r="J529" s="3">
        <v>42180</v>
      </c>
      <c r="K529" s="2" t="s">
        <v>14</v>
      </c>
      <c r="L529" s="2" t="s">
        <v>3254</v>
      </c>
      <c r="M529" s="2" t="s">
        <v>1484</v>
      </c>
      <c r="N529" s="2">
        <v>0</v>
      </c>
      <c r="O529" s="2">
        <v>0</v>
      </c>
      <c r="P529" s="2">
        <v>0</v>
      </c>
      <c r="Q529" s="2">
        <v>0</v>
      </c>
      <c r="R529" s="2">
        <v>1</v>
      </c>
      <c r="S529" s="2">
        <v>0</v>
      </c>
    </row>
    <row r="530" spans="1:19" ht="26.25" x14ac:dyDescent="0.25">
      <c r="A530" s="2">
        <v>12571101</v>
      </c>
      <c r="B530" s="2" t="s">
        <v>10</v>
      </c>
      <c r="C530" s="2" t="s">
        <v>3144</v>
      </c>
      <c r="D530" s="2" t="s">
        <v>28</v>
      </c>
      <c r="E530" s="2" t="s">
        <v>3146</v>
      </c>
      <c r="F530" s="2" t="s">
        <v>3793</v>
      </c>
      <c r="G530" s="2">
        <v>33902379264</v>
      </c>
      <c r="H530" s="2" t="s">
        <v>1274</v>
      </c>
      <c r="I530" s="2" t="s">
        <v>1275</v>
      </c>
      <c r="J530" s="3">
        <v>41312</v>
      </c>
      <c r="K530" s="2" t="s">
        <v>14</v>
      </c>
      <c r="L530" s="2" t="s">
        <v>1810</v>
      </c>
      <c r="M530" s="2" t="s">
        <v>1484</v>
      </c>
      <c r="N530" s="2">
        <v>0</v>
      </c>
      <c r="O530" s="2">
        <v>0</v>
      </c>
      <c r="P530" s="2">
        <v>1</v>
      </c>
      <c r="Q530" s="2">
        <v>0</v>
      </c>
      <c r="R530" s="2">
        <v>0</v>
      </c>
      <c r="S530" s="2">
        <v>0</v>
      </c>
    </row>
    <row r="531" spans="1:19" ht="26.25" x14ac:dyDescent="0.25">
      <c r="A531" s="2">
        <v>18532026</v>
      </c>
      <c r="B531" s="2" t="s">
        <v>10</v>
      </c>
      <c r="C531" s="2" t="s">
        <v>32</v>
      </c>
      <c r="D531" s="2" t="s">
        <v>33</v>
      </c>
      <c r="E531" s="2" t="s">
        <v>1276</v>
      </c>
      <c r="F531" s="2" t="s">
        <v>3794</v>
      </c>
      <c r="G531" s="2">
        <v>48841848634</v>
      </c>
      <c r="H531" s="2" t="s">
        <v>1277</v>
      </c>
      <c r="I531" s="2" t="s">
        <v>1278</v>
      </c>
      <c r="J531" s="3">
        <v>43354</v>
      </c>
      <c r="K531" s="2" t="s">
        <v>14</v>
      </c>
      <c r="L531" s="2" t="s">
        <v>1583</v>
      </c>
      <c r="M531" s="2" t="s">
        <v>1484</v>
      </c>
      <c r="N531" s="2">
        <v>0</v>
      </c>
      <c r="O531" s="2">
        <v>0</v>
      </c>
      <c r="P531" s="2">
        <v>1</v>
      </c>
      <c r="Q531" s="2">
        <v>0</v>
      </c>
      <c r="R531" s="2">
        <v>0</v>
      </c>
      <c r="S531" s="2">
        <v>0</v>
      </c>
    </row>
    <row r="532" spans="1:19" ht="26.25" x14ac:dyDescent="0.25">
      <c r="A532" s="2">
        <v>16513052</v>
      </c>
      <c r="B532" s="2" t="s">
        <v>10</v>
      </c>
      <c r="C532" s="2" t="s">
        <v>3128</v>
      </c>
      <c r="D532" s="2" t="s">
        <v>45</v>
      </c>
      <c r="E532" s="2" t="s">
        <v>3056</v>
      </c>
      <c r="F532" s="2" t="s">
        <v>3795</v>
      </c>
      <c r="G532" s="2">
        <v>15848794264</v>
      </c>
      <c r="H532" s="2" t="s">
        <v>1279</v>
      </c>
      <c r="I532" s="2" t="s">
        <v>1280</v>
      </c>
      <c r="J532" s="3">
        <v>42779</v>
      </c>
      <c r="K532" s="2" t="s">
        <v>14</v>
      </c>
      <c r="L532" s="2" t="s">
        <v>1620</v>
      </c>
      <c r="M532" s="2" t="s">
        <v>1484</v>
      </c>
      <c r="N532" s="2">
        <v>0</v>
      </c>
      <c r="O532" s="2">
        <v>0</v>
      </c>
      <c r="P532" s="2">
        <v>0</v>
      </c>
      <c r="Q532" s="2">
        <v>0</v>
      </c>
      <c r="R532" s="2">
        <v>1</v>
      </c>
      <c r="S532" s="2">
        <v>0</v>
      </c>
    </row>
    <row r="533" spans="1:19" ht="26.25" x14ac:dyDescent="0.25">
      <c r="A533" s="2">
        <v>9527008</v>
      </c>
      <c r="B533" s="2" t="s">
        <v>10</v>
      </c>
      <c r="C533" s="2" t="s">
        <v>3139</v>
      </c>
      <c r="D533" s="2" t="s">
        <v>3140</v>
      </c>
      <c r="E533" s="2" t="s">
        <v>1281</v>
      </c>
      <c r="F533" s="2" t="s">
        <v>3796</v>
      </c>
      <c r="G533" s="2">
        <v>34201747952</v>
      </c>
      <c r="H533" s="2" t="s">
        <v>1282</v>
      </c>
      <c r="I533" s="2" t="s">
        <v>1283</v>
      </c>
      <c r="J533" s="3">
        <v>40080</v>
      </c>
      <c r="K533" s="2" t="s">
        <v>14</v>
      </c>
      <c r="L533" s="2" t="s">
        <v>1811</v>
      </c>
      <c r="M533" s="2" t="s">
        <v>1486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ht="26.25" x14ac:dyDescent="0.25">
      <c r="A534" s="2">
        <v>12571102</v>
      </c>
      <c r="B534" s="2" t="s">
        <v>10</v>
      </c>
      <c r="C534" s="2" t="s">
        <v>3144</v>
      </c>
      <c r="D534" s="2" t="s">
        <v>28</v>
      </c>
      <c r="E534" s="2" t="s">
        <v>1284</v>
      </c>
      <c r="F534" s="2" t="s">
        <v>3797</v>
      </c>
      <c r="G534" s="2">
        <v>18532893076</v>
      </c>
      <c r="H534" s="2" t="s">
        <v>1285</v>
      </c>
      <c r="I534" s="2" t="s">
        <v>1286</v>
      </c>
      <c r="J534" s="3">
        <v>41312</v>
      </c>
      <c r="K534" s="2" t="s">
        <v>14</v>
      </c>
      <c r="L534" s="2" t="s">
        <v>1812</v>
      </c>
      <c r="M534" s="2" t="s">
        <v>1484</v>
      </c>
      <c r="N534" s="2">
        <v>0</v>
      </c>
      <c r="O534" s="2">
        <v>0</v>
      </c>
      <c r="P534" s="2">
        <v>1</v>
      </c>
      <c r="Q534" s="2">
        <v>0</v>
      </c>
      <c r="R534" s="2">
        <v>0</v>
      </c>
      <c r="S534" s="2">
        <v>0</v>
      </c>
    </row>
    <row r="535" spans="1:19" ht="26.25" x14ac:dyDescent="0.25">
      <c r="A535" s="2">
        <v>13520052</v>
      </c>
      <c r="B535" s="2" t="s">
        <v>10</v>
      </c>
      <c r="C535" s="2" t="s">
        <v>3118</v>
      </c>
      <c r="D535" s="2" t="s">
        <v>3118</v>
      </c>
      <c r="E535" s="2" t="s">
        <v>3057</v>
      </c>
      <c r="F535" s="2" t="s">
        <v>3798</v>
      </c>
      <c r="G535" s="2">
        <v>21790470088</v>
      </c>
      <c r="H535" s="2" t="s">
        <v>1287</v>
      </c>
      <c r="I535" s="2" t="s">
        <v>1288</v>
      </c>
      <c r="J535" s="3">
        <v>41652</v>
      </c>
      <c r="K535" s="2" t="s">
        <v>14</v>
      </c>
      <c r="L535" s="2" t="s">
        <v>1643</v>
      </c>
      <c r="M535" s="2" t="s">
        <v>1484</v>
      </c>
      <c r="N535" s="2">
        <v>0</v>
      </c>
      <c r="O535" s="2">
        <v>0</v>
      </c>
      <c r="P535" s="2">
        <v>0</v>
      </c>
      <c r="Q535" s="2">
        <v>0</v>
      </c>
      <c r="R535" s="2">
        <v>1</v>
      </c>
      <c r="S535" s="2">
        <v>0</v>
      </c>
    </row>
    <row r="536" spans="1:19" ht="39" x14ac:dyDescent="0.25">
      <c r="A536" s="2">
        <v>13509009</v>
      </c>
      <c r="B536" s="2" t="s">
        <v>66</v>
      </c>
      <c r="C536" s="2" t="s">
        <v>3128</v>
      </c>
      <c r="D536" s="2" t="s">
        <v>468</v>
      </c>
      <c r="E536" s="2" t="s">
        <v>1289</v>
      </c>
      <c r="F536" s="2" t="s">
        <v>3799</v>
      </c>
      <c r="G536" s="2">
        <v>35512850324</v>
      </c>
      <c r="H536" s="2" t="s">
        <v>1290</v>
      </c>
      <c r="I536" s="2" t="s">
        <v>1291</v>
      </c>
      <c r="J536" s="3">
        <v>41519</v>
      </c>
      <c r="K536" s="2" t="s">
        <v>14</v>
      </c>
      <c r="L536" s="2" t="s">
        <v>1813</v>
      </c>
      <c r="M536" s="2" t="s">
        <v>1484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1</v>
      </c>
    </row>
    <row r="537" spans="1:19" ht="26.25" x14ac:dyDescent="0.25">
      <c r="A537" s="2">
        <v>15561007</v>
      </c>
      <c r="B537" s="2" t="s">
        <v>10</v>
      </c>
      <c r="C537" s="2" t="s">
        <v>32</v>
      </c>
      <c r="D537" s="2" t="s">
        <v>42</v>
      </c>
      <c r="E537" s="2" t="s">
        <v>3058</v>
      </c>
      <c r="F537" s="2" t="s">
        <v>3800</v>
      </c>
      <c r="G537" s="2">
        <v>19082282518</v>
      </c>
      <c r="H537" s="2" t="s">
        <v>1292</v>
      </c>
      <c r="I537" s="2" t="s">
        <v>1293</v>
      </c>
      <c r="J537" s="3">
        <v>42187</v>
      </c>
      <c r="K537" s="2" t="s">
        <v>14</v>
      </c>
      <c r="L537" s="2" t="s">
        <v>3227</v>
      </c>
      <c r="M537" s="2" t="s">
        <v>1484</v>
      </c>
      <c r="N537" s="2">
        <v>0</v>
      </c>
      <c r="O537" s="2">
        <v>0</v>
      </c>
      <c r="P537" s="2">
        <v>0</v>
      </c>
      <c r="Q537" s="2">
        <v>0</v>
      </c>
      <c r="R537" s="2">
        <v>1</v>
      </c>
      <c r="S537" s="2">
        <v>0</v>
      </c>
    </row>
    <row r="538" spans="1:19" ht="39" x14ac:dyDescent="0.25">
      <c r="A538" s="2">
        <v>15555009</v>
      </c>
      <c r="B538" s="2" t="s">
        <v>10</v>
      </c>
      <c r="C538" s="2" t="s">
        <v>3117</v>
      </c>
      <c r="D538" s="2" t="s">
        <v>3147</v>
      </c>
      <c r="E538" s="2" t="s">
        <v>3059</v>
      </c>
      <c r="F538" s="2" t="s">
        <v>3801</v>
      </c>
      <c r="G538" s="2">
        <v>38282204458</v>
      </c>
      <c r="H538" s="2" t="s">
        <v>1294</v>
      </c>
      <c r="I538" s="2" t="s">
        <v>1295</v>
      </c>
      <c r="J538" s="3">
        <v>42191</v>
      </c>
      <c r="K538" s="2" t="s">
        <v>14</v>
      </c>
      <c r="L538" s="2" t="s">
        <v>1814</v>
      </c>
      <c r="M538" s="2" t="s">
        <v>1484</v>
      </c>
      <c r="N538" s="2">
        <v>0</v>
      </c>
      <c r="O538" s="2">
        <v>0</v>
      </c>
      <c r="P538" s="2">
        <v>0</v>
      </c>
      <c r="Q538" s="2">
        <v>0</v>
      </c>
      <c r="R538" s="2">
        <v>1</v>
      </c>
      <c r="S538" s="2">
        <v>0</v>
      </c>
    </row>
    <row r="539" spans="1:19" ht="51.75" x14ac:dyDescent="0.25">
      <c r="A539" s="2">
        <v>16509014</v>
      </c>
      <c r="B539" s="2" t="s">
        <v>10</v>
      </c>
      <c r="C539" s="2" t="s">
        <v>3128</v>
      </c>
      <c r="D539" s="2" t="s">
        <v>468</v>
      </c>
      <c r="E539" s="2" t="s">
        <v>3060</v>
      </c>
      <c r="F539" s="2" t="s">
        <v>3802</v>
      </c>
      <c r="G539" s="2">
        <v>12682813618</v>
      </c>
      <c r="H539" s="2" t="s">
        <v>1296</v>
      </c>
      <c r="I539" s="2" t="s">
        <v>1297</v>
      </c>
      <c r="J539" s="3">
        <v>42614</v>
      </c>
      <c r="K539" s="2" t="s">
        <v>14</v>
      </c>
      <c r="L539" s="2" t="s">
        <v>1815</v>
      </c>
      <c r="M539" s="2" t="s">
        <v>1484</v>
      </c>
      <c r="N539" s="2">
        <v>0</v>
      </c>
      <c r="O539" s="2">
        <v>0</v>
      </c>
      <c r="P539" s="2">
        <v>1</v>
      </c>
      <c r="Q539" s="2">
        <v>0</v>
      </c>
      <c r="R539" s="2">
        <v>0</v>
      </c>
      <c r="S539" s="2">
        <v>0</v>
      </c>
    </row>
    <row r="540" spans="1:19" ht="39" x14ac:dyDescent="0.25">
      <c r="A540" s="2">
        <v>10502007</v>
      </c>
      <c r="B540" s="2" t="s">
        <v>10</v>
      </c>
      <c r="C540" s="2" t="s">
        <v>3132</v>
      </c>
      <c r="D540" s="2" t="s">
        <v>3132</v>
      </c>
      <c r="E540" s="2" t="s">
        <v>3061</v>
      </c>
      <c r="F540" s="2" t="s">
        <v>3803</v>
      </c>
      <c r="G540" s="2">
        <v>11045678406</v>
      </c>
      <c r="H540" s="2" t="s">
        <v>1298</v>
      </c>
      <c r="I540" s="2" t="s">
        <v>1299</v>
      </c>
      <c r="J540" s="3">
        <v>40437</v>
      </c>
      <c r="K540" s="2" t="s">
        <v>14</v>
      </c>
      <c r="L540" s="2" t="s">
        <v>1816</v>
      </c>
      <c r="M540" s="2" t="s">
        <v>1486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25">
      <c r="A541" s="2">
        <v>10523001</v>
      </c>
      <c r="B541" s="2" t="s">
        <v>10</v>
      </c>
      <c r="C541" s="2" t="s">
        <v>3119</v>
      </c>
      <c r="D541" s="2" t="s">
        <v>129</v>
      </c>
      <c r="E541" s="2" t="s">
        <v>3062</v>
      </c>
      <c r="F541" s="2" t="s">
        <v>3804</v>
      </c>
      <c r="G541" s="2">
        <v>34705012518</v>
      </c>
      <c r="H541" s="2" t="s">
        <v>1300</v>
      </c>
      <c r="I541" s="2" t="s">
        <v>1301</v>
      </c>
      <c r="J541" s="3">
        <v>40442</v>
      </c>
      <c r="K541" s="2" t="s">
        <v>14</v>
      </c>
      <c r="L541" s="2" t="s">
        <v>1817</v>
      </c>
      <c r="M541" s="2" t="s">
        <v>1486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</row>
    <row r="542" spans="1:19" x14ac:dyDescent="0.25">
      <c r="A542" s="2">
        <v>13525020</v>
      </c>
      <c r="B542" s="2" t="s">
        <v>66</v>
      </c>
      <c r="C542" s="2" t="s">
        <v>105</v>
      </c>
      <c r="D542" s="2" t="s">
        <v>105</v>
      </c>
      <c r="E542" s="2" t="s">
        <v>1302</v>
      </c>
      <c r="F542" s="2" t="s">
        <v>3805</v>
      </c>
      <c r="G542" s="2">
        <v>63364123570</v>
      </c>
      <c r="H542" s="2" t="s">
        <v>1303</v>
      </c>
      <c r="I542" s="2" t="s">
        <v>1304</v>
      </c>
      <c r="J542" s="3">
        <v>41520</v>
      </c>
      <c r="K542" s="2" t="s">
        <v>14</v>
      </c>
      <c r="L542" s="2" t="s">
        <v>1818</v>
      </c>
      <c r="M542" s="2" t="s">
        <v>1484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</v>
      </c>
    </row>
    <row r="543" spans="1:19" ht="26.25" x14ac:dyDescent="0.25">
      <c r="A543" s="2">
        <v>16524011</v>
      </c>
      <c r="B543" s="2" t="s">
        <v>10</v>
      </c>
      <c r="C543" s="2" t="s">
        <v>3119</v>
      </c>
      <c r="D543" s="2" t="s">
        <v>90</v>
      </c>
      <c r="E543" s="2" t="s">
        <v>1305</v>
      </c>
      <c r="F543" s="2" t="s">
        <v>3806</v>
      </c>
      <c r="G543" s="2">
        <v>54997030434</v>
      </c>
      <c r="H543" s="2" t="s">
        <v>1306</v>
      </c>
      <c r="I543" s="2" t="s">
        <v>1307</v>
      </c>
      <c r="J543" s="3">
        <v>42614</v>
      </c>
      <c r="K543" s="2" t="s">
        <v>14</v>
      </c>
      <c r="L543" s="2" t="s">
        <v>3213</v>
      </c>
      <c r="M543" s="2" t="s">
        <v>1484</v>
      </c>
      <c r="N543" s="2">
        <v>0</v>
      </c>
      <c r="O543" s="2">
        <v>0</v>
      </c>
      <c r="P543" s="2">
        <v>0</v>
      </c>
      <c r="Q543" s="2">
        <v>0</v>
      </c>
      <c r="R543" s="2">
        <v>1</v>
      </c>
      <c r="S543" s="2">
        <v>0</v>
      </c>
    </row>
    <row r="544" spans="1:19" ht="26.25" x14ac:dyDescent="0.25">
      <c r="A544" s="2">
        <v>15552015</v>
      </c>
      <c r="B544" s="2" t="s">
        <v>10</v>
      </c>
      <c r="C544" s="2" t="s">
        <v>3119</v>
      </c>
      <c r="D544" s="2" t="s">
        <v>19</v>
      </c>
      <c r="E544" s="2" t="s">
        <v>3063</v>
      </c>
      <c r="F544" s="2" t="s">
        <v>3807</v>
      </c>
      <c r="G544" s="2">
        <v>43252875736</v>
      </c>
      <c r="H544" s="2" t="s">
        <v>1308</v>
      </c>
      <c r="I544" s="2" t="s">
        <v>1309</v>
      </c>
      <c r="J544" s="3">
        <v>42188</v>
      </c>
      <c r="K544" s="2" t="s">
        <v>14</v>
      </c>
      <c r="L544" s="2" t="s">
        <v>3255</v>
      </c>
      <c r="M544" s="2" t="s">
        <v>1484</v>
      </c>
      <c r="N544" s="2">
        <v>0</v>
      </c>
      <c r="O544" s="2">
        <v>0</v>
      </c>
      <c r="P544" s="2">
        <v>0</v>
      </c>
      <c r="Q544" s="2">
        <v>0</v>
      </c>
      <c r="R544" s="2">
        <v>1</v>
      </c>
      <c r="S544" s="2">
        <v>0</v>
      </c>
    </row>
    <row r="545" spans="1:19" ht="26.25" x14ac:dyDescent="0.25">
      <c r="A545" s="2">
        <v>13512010</v>
      </c>
      <c r="B545" s="2" t="s">
        <v>10</v>
      </c>
      <c r="C545" s="2" t="s">
        <v>3128</v>
      </c>
      <c r="D545" s="2" t="s">
        <v>171</v>
      </c>
      <c r="E545" s="2" t="s">
        <v>3064</v>
      </c>
      <c r="F545" s="2" t="s">
        <v>3808</v>
      </c>
      <c r="G545" s="2">
        <v>58105384082</v>
      </c>
      <c r="H545" s="2" t="s">
        <v>1310</v>
      </c>
      <c r="I545" s="2" t="s">
        <v>1311</v>
      </c>
      <c r="J545" s="3">
        <v>41652</v>
      </c>
      <c r="K545" s="2" t="s">
        <v>14</v>
      </c>
      <c r="L545" s="2" t="s">
        <v>1819</v>
      </c>
      <c r="M545" s="2" t="s">
        <v>1484</v>
      </c>
      <c r="N545" s="2">
        <v>0</v>
      </c>
      <c r="O545" s="2">
        <v>0</v>
      </c>
      <c r="P545" s="2">
        <v>1</v>
      </c>
      <c r="Q545" s="2">
        <v>0</v>
      </c>
      <c r="R545" s="2">
        <v>0</v>
      </c>
      <c r="S545" s="2">
        <v>0</v>
      </c>
    </row>
    <row r="546" spans="1:19" ht="26.25" x14ac:dyDescent="0.25">
      <c r="A546" s="2">
        <v>15520054</v>
      </c>
      <c r="B546" s="2" t="s">
        <v>10</v>
      </c>
      <c r="C546" s="2" t="s">
        <v>3118</v>
      </c>
      <c r="D546" s="2" t="s">
        <v>3118</v>
      </c>
      <c r="E546" s="2" t="s">
        <v>3065</v>
      </c>
      <c r="F546" s="2" t="s">
        <v>3809</v>
      </c>
      <c r="G546" s="2">
        <v>18019127458</v>
      </c>
      <c r="H546" s="2" t="s">
        <v>1312</v>
      </c>
      <c r="I546" s="2" t="s">
        <v>1313</v>
      </c>
      <c r="J546" s="3">
        <v>42391</v>
      </c>
      <c r="K546" s="2" t="s">
        <v>14</v>
      </c>
      <c r="L546" s="2" t="s">
        <v>1690</v>
      </c>
      <c r="M546" s="2" t="s">
        <v>1484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0</v>
      </c>
    </row>
    <row r="547" spans="1:19" ht="39" x14ac:dyDescent="0.25">
      <c r="A547" s="2">
        <v>13534018</v>
      </c>
      <c r="B547" s="2" t="s">
        <v>10</v>
      </c>
      <c r="C547" s="2" t="s">
        <v>32</v>
      </c>
      <c r="D547" s="2" t="s">
        <v>196</v>
      </c>
      <c r="E547" s="2" t="s">
        <v>3066</v>
      </c>
      <c r="F547" s="2" t="s">
        <v>3810</v>
      </c>
      <c r="G547" s="2">
        <v>7026826</v>
      </c>
      <c r="H547" s="2" t="s">
        <v>1314</v>
      </c>
      <c r="I547" s="2" t="s">
        <v>1315</v>
      </c>
      <c r="J547" s="3">
        <v>41540</v>
      </c>
      <c r="K547" s="2" t="s">
        <v>14</v>
      </c>
      <c r="L547" s="2" t="s">
        <v>1711</v>
      </c>
      <c r="M547" s="2" t="s">
        <v>1484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1</v>
      </c>
    </row>
    <row r="548" spans="1:19" ht="26.25" x14ac:dyDescent="0.25">
      <c r="A548" s="2">
        <v>16522008</v>
      </c>
      <c r="B548" s="2" t="s">
        <v>10</v>
      </c>
      <c r="C548" s="2" t="s">
        <v>3119</v>
      </c>
      <c r="D548" s="2" t="s">
        <v>449</v>
      </c>
      <c r="E548" s="2" t="s">
        <v>3067</v>
      </c>
      <c r="F548" s="2" t="s">
        <v>3811</v>
      </c>
      <c r="G548" s="2">
        <v>42091950550</v>
      </c>
      <c r="H548" s="2" t="s">
        <v>1316</v>
      </c>
      <c r="I548" s="2" t="s">
        <v>1317</v>
      </c>
      <c r="J548" s="3">
        <v>42585</v>
      </c>
      <c r="K548" s="2" t="s">
        <v>14</v>
      </c>
      <c r="L548" s="2" t="s">
        <v>1637</v>
      </c>
      <c r="M548" s="2" t="s">
        <v>1484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1</v>
      </c>
    </row>
    <row r="549" spans="1:19" ht="39" x14ac:dyDescent="0.25">
      <c r="A549" s="2">
        <v>14558008</v>
      </c>
      <c r="B549" s="2" t="s">
        <v>10</v>
      </c>
      <c r="C549" s="2" t="s">
        <v>209</v>
      </c>
      <c r="D549" s="2" t="s">
        <v>281</v>
      </c>
      <c r="E549" s="2" t="s">
        <v>3068</v>
      </c>
      <c r="F549" s="2" t="s">
        <v>3812</v>
      </c>
      <c r="G549" s="2">
        <v>31529312398</v>
      </c>
      <c r="H549" s="2" t="s">
        <v>1318</v>
      </c>
      <c r="I549" s="2" t="s">
        <v>1319</v>
      </c>
      <c r="J549" s="3">
        <v>42012</v>
      </c>
      <c r="K549" s="2" t="s">
        <v>14</v>
      </c>
      <c r="L549" s="2" t="s">
        <v>1636</v>
      </c>
      <c r="M549" s="2" t="s">
        <v>1484</v>
      </c>
      <c r="N549" s="2">
        <v>0</v>
      </c>
      <c r="O549" s="2">
        <v>0</v>
      </c>
      <c r="P549" s="2">
        <v>0</v>
      </c>
      <c r="Q549" s="2">
        <v>0</v>
      </c>
      <c r="R549" s="2">
        <v>1</v>
      </c>
      <c r="S549" s="2">
        <v>0</v>
      </c>
    </row>
    <row r="550" spans="1:19" ht="26.25" x14ac:dyDescent="0.25">
      <c r="A550" s="2">
        <v>12571002</v>
      </c>
      <c r="B550" s="2" t="s">
        <v>10</v>
      </c>
      <c r="C550" s="2" t="s">
        <v>3144</v>
      </c>
      <c r="D550" s="2" t="s">
        <v>28</v>
      </c>
      <c r="E550" s="2" t="s">
        <v>3069</v>
      </c>
      <c r="F550" s="2" t="s">
        <v>3813</v>
      </c>
      <c r="G550" s="2">
        <v>16450202178</v>
      </c>
      <c r="H550" s="2" t="s">
        <v>1320</v>
      </c>
      <c r="I550" s="2" t="s">
        <v>1321</v>
      </c>
      <c r="J550" s="3">
        <v>41162</v>
      </c>
      <c r="K550" s="2" t="s">
        <v>14</v>
      </c>
      <c r="L550" s="2" t="s">
        <v>3256</v>
      </c>
      <c r="M550" s="2" t="s">
        <v>1486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ht="51.75" x14ac:dyDescent="0.25">
      <c r="A551" s="2">
        <v>6532201</v>
      </c>
      <c r="B551" s="2" t="s">
        <v>66</v>
      </c>
      <c r="C551" s="2" t="s">
        <v>32</v>
      </c>
      <c r="D551" s="2" t="s">
        <v>33</v>
      </c>
      <c r="E551" s="2" t="s">
        <v>3070</v>
      </c>
      <c r="F551" s="2" t="s">
        <v>3814</v>
      </c>
      <c r="G551" s="2">
        <v>33110154356</v>
      </c>
      <c r="H551" s="2" t="s">
        <v>1322</v>
      </c>
      <c r="I551" s="2" t="s">
        <v>1323</v>
      </c>
      <c r="J551" s="3">
        <v>38931</v>
      </c>
      <c r="K551" s="2" t="s">
        <v>14</v>
      </c>
      <c r="L551" s="2" t="s">
        <v>1820</v>
      </c>
      <c r="M551" s="2" t="s">
        <v>1484</v>
      </c>
      <c r="N551" s="2">
        <v>0</v>
      </c>
      <c r="O551" s="2">
        <v>0</v>
      </c>
      <c r="P551" s="2">
        <v>1</v>
      </c>
      <c r="Q551" s="2">
        <v>0</v>
      </c>
      <c r="R551" s="2">
        <v>0</v>
      </c>
      <c r="S551" s="2">
        <v>0</v>
      </c>
    </row>
    <row r="552" spans="1:19" ht="51.75" x14ac:dyDescent="0.25">
      <c r="A552" s="2">
        <v>15526016</v>
      </c>
      <c r="B552" s="2" t="s">
        <v>10</v>
      </c>
      <c r="C552" s="2" t="s">
        <v>3134</v>
      </c>
      <c r="D552" s="2" t="s">
        <v>3134</v>
      </c>
      <c r="E552" s="2" t="s">
        <v>1324</v>
      </c>
      <c r="F552" s="2" t="s">
        <v>3815</v>
      </c>
      <c r="G552" s="2">
        <v>24523224408</v>
      </c>
      <c r="H552" s="2" t="s">
        <v>1325</v>
      </c>
      <c r="I552" s="2" t="s">
        <v>1326</v>
      </c>
      <c r="J552" s="3">
        <v>42191</v>
      </c>
      <c r="K552" s="2" t="s">
        <v>14</v>
      </c>
      <c r="L552" s="2" t="s">
        <v>1821</v>
      </c>
      <c r="M552" s="2" t="s">
        <v>1484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1</v>
      </c>
    </row>
    <row r="553" spans="1:19" ht="39" x14ac:dyDescent="0.25">
      <c r="A553" s="2">
        <v>16510001</v>
      </c>
      <c r="B553" s="2" t="s">
        <v>10</v>
      </c>
      <c r="C553" s="2" t="s">
        <v>3128</v>
      </c>
      <c r="D553" s="2" t="s">
        <v>150</v>
      </c>
      <c r="E553" s="2" t="s">
        <v>3071</v>
      </c>
      <c r="F553" s="2" t="s">
        <v>3816</v>
      </c>
      <c r="G553" s="2">
        <v>27448632792</v>
      </c>
      <c r="H553" s="2" t="s">
        <v>1327</v>
      </c>
      <c r="I553" s="2" t="s">
        <v>1328</v>
      </c>
      <c r="J553" s="3">
        <v>42583</v>
      </c>
      <c r="K553" s="2" t="s">
        <v>14</v>
      </c>
      <c r="L553" s="2" t="s">
        <v>3257</v>
      </c>
      <c r="M553" s="2" t="s">
        <v>1484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</v>
      </c>
    </row>
    <row r="554" spans="1:19" ht="26.25" x14ac:dyDescent="0.25">
      <c r="A554" s="2">
        <v>13533018</v>
      </c>
      <c r="B554" s="2" t="s">
        <v>10</v>
      </c>
      <c r="C554" s="2" t="s">
        <v>32</v>
      </c>
      <c r="D554" s="2" t="s">
        <v>132</v>
      </c>
      <c r="E554" s="2" t="s">
        <v>3072</v>
      </c>
      <c r="F554" s="2" t="s">
        <v>3817</v>
      </c>
      <c r="G554" s="2">
        <v>32920801184</v>
      </c>
      <c r="H554" s="2" t="s">
        <v>1329</v>
      </c>
      <c r="I554" s="2" t="s">
        <v>1330</v>
      </c>
      <c r="J554" s="3">
        <v>41648</v>
      </c>
      <c r="K554" s="2" t="s">
        <v>14</v>
      </c>
      <c r="L554" s="2" t="s">
        <v>1517</v>
      </c>
      <c r="M554" s="2" t="s">
        <v>1484</v>
      </c>
      <c r="N554" s="2">
        <v>0</v>
      </c>
      <c r="O554" s="2">
        <v>0</v>
      </c>
      <c r="P554" s="2">
        <v>1</v>
      </c>
      <c r="Q554" s="2">
        <v>0</v>
      </c>
      <c r="R554" s="2">
        <v>0</v>
      </c>
      <c r="S554" s="2">
        <v>0</v>
      </c>
    </row>
    <row r="555" spans="1:19" ht="39" x14ac:dyDescent="0.25">
      <c r="A555" s="2">
        <v>10561003</v>
      </c>
      <c r="B555" s="2" t="s">
        <v>10</v>
      </c>
      <c r="C555" s="2" t="s">
        <v>32</v>
      </c>
      <c r="D555" s="2" t="s">
        <v>42</v>
      </c>
      <c r="E555" s="2" t="s">
        <v>1331</v>
      </c>
      <c r="F555" s="2" t="s">
        <v>3818</v>
      </c>
      <c r="G555" s="2">
        <v>40192390008</v>
      </c>
      <c r="H555" s="2" t="s">
        <v>1332</v>
      </c>
      <c r="I555" s="2" t="s">
        <v>1333</v>
      </c>
      <c r="J555" s="3">
        <v>40443</v>
      </c>
      <c r="K555" s="2" t="s">
        <v>14</v>
      </c>
      <c r="L555" s="2" t="s">
        <v>1747</v>
      </c>
      <c r="M555" s="2" t="s">
        <v>1486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ht="64.5" x14ac:dyDescent="0.25">
      <c r="A556" s="2">
        <v>14513034</v>
      </c>
      <c r="B556" s="2" t="s">
        <v>10</v>
      </c>
      <c r="C556" s="2" t="s">
        <v>3128</v>
      </c>
      <c r="D556" s="2" t="s">
        <v>45</v>
      </c>
      <c r="E556" s="2" t="s">
        <v>3073</v>
      </c>
      <c r="F556" s="2" t="s">
        <v>3819</v>
      </c>
      <c r="G556" s="2">
        <v>19523507866</v>
      </c>
      <c r="H556" s="2" t="s">
        <v>1334</v>
      </c>
      <c r="I556" s="2" t="s">
        <v>1335</v>
      </c>
      <c r="J556" s="3">
        <v>42017</v>
      </c>
      <c r="K556" s="2" t="s">
        <v>14</v>
      </c>
      <c r="L556" s="2" t="s">
        <v>1620</v>
      </c>
      <c r="M556" s="2" t="s">
        <v>1484</v>
      </c>
      <c r="N556" s="2">
        <v>0</v>
      </c>
      <c r="O556" s="2">
        <v>0</v>
      </c>
      <c r="P556" s="2">
        <v>0</v>
      </c>
      <c r="Q556" s="2">
        <v>0</v>
      </c>
      <c r="R556" s="2">
        <v>1</v>
      </c>
      <c r="S556" s="2">
        <v>0</v>
      </c>
    </row>
    <row r="557" spans="1:19" ht="51.75" x14ac:dyDescent="0.25">
      <c r="A557" s="2">
        <v>15550019</v>
      </c>
      <c r="B557" s="2" t="s">
        <v>10</v>
      </c>
      <c r="C557" s="2" t="s">
        <v>3120</v>
      </c>
      <c r="D557" s="2" t="s">
        <v>22</v>
      </c>
      <c r="E557" s="2" t="s">
        <v>3074</v>
      </c>
      <c r="F557" s="2" t="s">
        <v>3820</v>
      </c>
      <c r="G557" s="2">
        <v>17942074396</v>
      </c>
      <c r="H557" s="2" t="s">
        <v>1336</v>
      </c>
      <c r="I557" s="2" t="s">
        <v>1337</v>
      </c>
      <c r="J557" s="3">
        <v>42390</v>
      </c>
      <c r="K557" s="2" t="s">
        <v>14</v>
      </c>
      <c r="L557" s="2" t="s">
        <v>3258</v>
      </c>
      <c r="M557" s="2" t="s">
        <v>1484</v>
      </c>
      <c r="N557" s="2">
        <v>0</v>
      </c>
      <c r="O557" s="2">
        <v>0</v>
      </c>
      <c r="P557" s="2">
        <v>0</v>
      </c>
      <c r="Q557" s="2">
        <v>1</v>
      </c>
      <c r="R557" s="2">
        <v>0</v>
      </c>
      <c r="S557" s="2">
        <v>0</v>
      </c>
    </row>
    <row r="558" spans="1:19" ht="51.75" x14ac:dyDescent="0.25">
      <c r="A558" s="2">
        <v>10502108</v>
      </c>
      <c r="B558" s="2" t="s">
        <v>10</v>
      </c>
      <c r="C558" s="2" t="s">
        <v>3132</v>
      </c>
      <c r="D558" s="2" t="s">
        <v>3132</v>
      </c>
      <c r="E558" s="2" t="s">
        <v>3075</v>
      </c>
      <c r="F558" s="2" t="s">
        <v>3821</v>
      </c>
      <c r="G558" s="2">
        <v>52678561864</v>
      </c>
      <c r="H558" s="2" t="s">
        <v>1338</v>
      </c>
      <c r="I558" s="2" t="s">
        <v>1339</v>
      </c>
      <c r="J558" s="3">
        <v>40584</v>
      </c>
      <c r="K558" s="2" t="s">
        <v>14</v>
      </c>
      <c r="L558" s="2" t="s">
        <v>1822</v>
      </c>
      <c r="M558" s="2" t="s">
        <v>1486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25">
      <c r="A559" s="2">
        <v>12524102</v>
      </c>
      <c r="B559" s="2" t="s">
        <v>10</v>
      </c>
      <c r="C559" s="2" t="s">
        <v>3119</v>
      </c>
      <c r="D559" s="2" t="s">
        <v>90</v>
      </c>
      <c r="E559" s="2" t="s">
        <v>3076</v>
      </c>
      <c r="F559" s="2" t="s">
        <v>3822</v>
      </c>
      <c r="G559" s="2">
        <v>26311797590</v>
      </c>
      <c r="H559" s="2" t="s">
        <v>1340</v>
      </c>
      <c r="I559" s="2" t="s">
        <v>1341</v>
      </c>
      <c r="J559" s="3">
        <v>41317</v>
      </c>
      <c r="K559" s="2" t="s">
        <v>14</v>
      </c>
      <c r="L559" s="2" t="s">
        <v>1738</v>
      </c>
      <c r="M559" s="2" t="s">
        <v>1484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1</v>
      </c>
    </row>
    <row r="560" spans="1:19" ht="26.25" x14ac:dyDescent="0.25">
      <c r="A560" s="2">
        <v>8550103</v>
      </c>
      <c r="B560" s="2" t="s">
        <v>10</v>
      </c>
      <c r="C560" s="2" t="s">
        <v>3120</v>
      </c>
      <c r="D560" s="2" t="s">
        <v>22</v>
      </c>
      <c r="E560" s="2" t="s">
        <v>3077</v>
      </c>
      <c r="F560" s="2" t="s">
        <v>3823</v>
      </c>
      <c r="G560" s="2">
        <v>31865010026</v>
      </c>
      <c r="H560" s="2" t="s">
        <v>1342</v>
      </c>
      <c r="I560" s="2" t="s">
        <v>1343</v>
      </c>
      <c r="J560" s="3">
        <v>39847</v>
      </c>
      <c r="K560" s="2" t="s">
        <v>14</v>
      </c>
      <c r="L560" s="2" t="s">
        <v>1823</v>
      </c>
      <c r="M560" s="2" t="s">
        <v>1486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ht="26.25" x14ac:dyDescent="0.25">
      <c r="A561" s="2">
        <v>15546002</v>
      </c>
      <c r="B561" s="2" t="s">
        <v>10</v>
      </c>
      <c r="C561" s="2" t="s">
        <v>3122</v>
      </c>
      <c r="D561" s="2" t="s">
        <v>3131</v>
      </c>
      <c r="E561" s="2" t="s">
        <v>3078</v>
      </c>
      <c r="F561" s="2" t="s">
        <v>3824</v>
      </c>
      <c r="G561" s="2">
        <v>23660192526</v>
      </c>
      <c r="H561" s="2" t="s">
        <v>1344</v>
      </c>
      <c r="I561" s="2" t="s">
        <v>1345</v>
      </c>
      <c r="J561" s="3">
        <v>42184</v>
      </c>
      <c r="K561" s="2" t="s">
        <v>14</v>
      </c>
      <c r="L561" s="2" t="s">
        <v>1824</v>
      </c>
      <c r="M561" s="2" t="s">
        <v>1484</v>
      </c>
      <c r="N561" s="2">
        <v>0</v>
      </c>
      <c r="O561" s="2">
        <v>0</v>
      </c>
      <c r="P561" s="2">
        <v>0</v>
      </c>
      <c r="Q561" s="2">
        <v>0</v>
      </c>
      <c r="R561" s="2">
        <v>1</v>
      </c>
      <c r="S561" s="2">
        <v>0</v>
      </c>
    </row>
    <row r="562" spans="1:19" ht="39" x14ac:dyDescent="0.25">
      <c r="A562" s="2">
        <v>16536007</v>
      </c>
      <c r="B562" s="2" t="s">
        <v>10</v>
      </c>
      <c r="C562" s="2" t="s">
        <v>32</v>
      </c>
      <c r="D562" s="2" t="s">
        <v>299</v>
      </c>
      <c r="E562" s="2" t="s">
        <v>3079</v>
      </c>
      <c r="F562" s="2" t="s">
        <v>3825</v>
      </c>
      <c r="G562" s="2">
        <v>39046097682</v>
      </c>
      <c r="H562" s="2" t="s">
        <v>1346</v>
      </c>
      <c r="I562" s="2" t="s">
        <v>1347</v>
      </c>
      <c r="J562" s="3">
        <v>42584</v>
      </c>
      <c r="K562" s="2" t="s">
        <v>14</v>
      </c>
      <c r="L562" s="2" t="s">
        <v>1572</v>
      </c>
      <c r="M562" s="2" t="s">
        <v>1484</v>
      </c>
      <c r="N562" s="2">
        <v>0</v>
      </c>
      <c r="O562" s="2">
        <v>0</v>
      </c>
      <c r="P562" s="2">
        <v>0</v>
      </c>
      <c r="Q562" s="2">
        <v>1</v>
      </c>
      <c r="R562" s="2">
        <v>0</v>
      </c>
      <c r="S562" s="2">
        <v>0</v>
      </c>
    </row>
    <row r="563" spans="1:19" ht="26.25" x14ac:dyDescent="0.25">
      <c r="A563" s="2">
        <v>9556003</v>
      </c>
      <c r="B563" s="2" t="s">
        <v>10</v>
      </c>
      <c r="C563" s="2" t="s">
        <v>209</v>
      </c>
      <c r="D563" s="2" t="s">
        <v>477</v>
      </c>
      <c r="E563" s="2" t="s">
        <v>3080</v>
      </c>
      <c r="F563" s="2" t="s">
        <v>3826</v>
      </c>
      <c r="G563" s="2">
        <v>56206107524</v>
      </c>
      <c r="H563" s="2" t="s">
        <v>1348</v>
      </c>
      <c r="I563" s="2" t="s">
        <v>1349</v>
      </c>
      <c r="J563" s="3">
        <v>40074</v>
      </c>
      <c r="K563" s="2" t="s">
        <v>14</v>
      </c>
      <c r="L563" s="2" t="s">
        <v>1825</v>
      </c>
      <c r="M563" s="2" t="s">
        <v>1486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ht="26.25" x14ac:dyDescent="0.25">
      <c r="A564" s="2">
        <v>14528007</v>
      </c>
      <c r="B564" s="2" t="s">
        <v>10</v>
      </c>
      <c r="C564" s="2" t="s">
        <v>3124</v>
      </c>
      <c r="D564" s="2" t="s">
        <v>362</v>
      </c>
      <c r="E564" s="2" t="s">
        <v>1350</v>
      </c>
      <c r="F564" s="2" t="s">
        <v>3827</v>
      </c>
      <c r="G564" s="2">
        <v>44107197058</v>
      </c>
      <c r="H564" s="2" t="s">
        <v>1351</v>
      </c>
      <c r="I564" s="2" t="s">
        <v>1352</v>
      </c>
      <c r="J564" s="3">
        <v>42041</v>
      </c>
      <c r="K564" s="2" t="s">
        <v>14</v>
      </c>
      <c r="L564" s="2" t="s">
        <v>1826</v>
      </c>
      <c r="M564" s="2" t="s">
        <v>1484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1</v>
      </c>
    </row>
    <row r="565" spans="1:19" ht="39" x14ac:dyDescent="0.25">
      <c r="A565" s="2">
        <v>16508017</v>
      </c>
      <c r="B565" s="2" t="s">
        <v>10</v>
      </c>
      <c r="C565" s="2" t="s">
        <v>3142</v>
      </c>
      <c r="D565" s="2" t="s">
        <v>3142</v>
      </c>
      <c r="E565" s="2" t="s">
        <v>3081</v>
      </c>
      <c r="F565" s="2" t="s">
        <v>3828</v>
      </c>
      <c r="G565" s="2">
        <v>31040017758</v>
      </c>
      <c r="H565" s="2" t="s">
        <v>1353</v>
      </c>
      <c r="I565" s="2" t="s">
        <v>1354</v>
      </c>
      <c r="J565" s="3">
        <v>42656</v>
      </c>
      <c r="K565" s="2" t="s">
        <v>158</v>
      </c>
      <c r="L565" s="2" t="s">
        <v>3259</v>
      </c>
      <c r="M565" s="2" t="s">
        <v>1484</v>
      </c>
      <c r="N565" s="2">
        <v>0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</row>
    <row r="566" spans="1:19" ht="26.25" x14ac:dyDescent="0.25">
      <c r="A566" s="2">
        <v>17502025</v>
      </c>
      <c r="B566" s="2" t="s">
        <v>10</v>
      </c>
      <c r="C566" s="2" t="s">
        <v>3132</v>
      </c>
      <c r="D566" s="2" t="s">
        <v>3132</v>
      </c>
      <c r="E566" s="2" t="s">
        <v>1355</v>
      </c>
      <c r="F566" s="2" t="s">
        <v>3829</v>
      </c>
      <c r="G566" s="2">
        <v>26797434170</v>
      </c>
      <c r="H566" s="2" t="s">
        <v>1356</v>
      </c>
      <c r="I566" s="2" t="s">
        <v>1357</v>
      </c>
      <c r="J566" s="3">
        <v>43126</v>
      </c>
      <c r="K566" s="2" t="s">
        <v>14</v>
      </c>
      <c r="L566" s="2" t="s">
        <v>1722</v>
      </c>
      <c r="M566" s="2" t="s">
        <v>1484</v>
      </c>
      <c r="N566" s="2">
        <v>0</v>
      </c>
      <c r="O566" s="2">
        <v>0</v>
      </c>
      <c r="P566" s="2">
        <v>0</v>
      </c>
      <c r="Q566" s="2">
        <v>0</v>
      </c>
      <c r="R566" s="2">
        <v>1</v>
      </c>
      <c r="S566" s="2">
        <v>0</v>
      </c>
    </row>
    <row r="567" spans="1:19" x14ac:dyDescent="0.25">
      <c r="A567" s="2">
        <v>15509003</v>
      </c>
      <c r="B567" s="2" t="s">
        <v>10</v>
      </c>
      <c r="C567" s="2" t="s">
        <v>3128</v>
      </c>
      <c r="D567" s="2" t="s">
        <v>468</v>
      </c>
      <c r="E567" s="2" t="s">
        <v>3082</v>
      </c>
      <c r="F567" s="2" t="s">
        <v>3830</v>
      </c>
      <c r="G567" s="2">
        <v>20444293424</v>
      </c>
      <c r="H567" s="2" t="s">
        <v>1358</v>
      </c>
      <c r="I567" s="2" t="s">
        <v>1359</v>
      </c>
      <c r="J567" s="3">
        <v>42180</v>
      </c>
      <c r="K567" s="2" t="s">
        <v>14</v>
      </c>
      <c r="L567" s="2" t="s">
        <v>1827</v>
      </c>
      <c r="M567" s="2" t="s">
        <v>1484</v>
      </c>
      <c r="N567" s="2">
        <v>0</v>
      </c>
      <c r="O567" s="2">
        <v>0</v>
      </c>
      <c r="P567" s="2">
        <v>0</v>
      </c>
      <c r="Q567" s="2">
        <v>0</v>
      </c>
      <c r="R567" s="2">
        <v>1</v>
      </c>
      <c r="S567" s="2">
        <v>0</v>
      </c>
    </row>
    <row r="568" spans="1:19" ht="39" x14ac:dyDescent="0.25">
      <c r="A568" s="2">
        <v>16543010</v>
      </c>
      <c r="B568" s="2" t="s">
        <v>10</v>
      </c>
      <c r="C568" s="2" t="s">
        <v>126</v>
      </c>
      <c r="D568" s="2" t="s">
        <v>126</v>
      </c>
      <c r="E568" s="2" t="s">
        <v>3083</v>
      </c>
      <c r="F568" s="2" t="s">
        <v>3831</v>
      </c>
      <c r="G568" s="2">
        <v>57694006276</v>
      </c>
      <c r="H568" s="2" t="s">
        <v>1360</v>
      </c>
      <c r="I568" s="2" t="s">
        <v>1361</v>
      </c>
      <c r="J568" s="3">
        <v>42585</v>
      </c>
      <c r="K568" s="2" t="s">
        <v>14</v>
      </c>
      <c r="L568" s="2" t="s">
        <v>1828</v>
      </c>
      <c r="M568" s="2" t="s">
        <v>1484</v>
      </c>
      <c r="N568" s="2">
        <v>0</v>
      </c>
      <c r="O568" s="2">
        <v>0</v>
      </c>
      <c r="P568" s="2">
        <v>0</v>
      </c>
      <c r="Q568" s="2">
        <v>0</v>
      </c>
      <c r="R568" s="2">
        <v>1</v>
      </c>
      <c r="S568" s="2">
        <v>0</v>
      </c>
    </row>
    <row r="569" spans="1:19" ht="26.25" x14ac:dyDescent="0.25">
      <c r="A569" s="2">
        <v>10538002</v>
      </c>
      <c r="B569" s="2" t="s">
        <v>10</v>
      </c>
      <c r="C569" s="2" t="s">
        <v>209</v>
      </c>
      <c r="D569" s="2" t="s">
        <v>905</v>
      </c>
      <c r="E569" s="2" t="s">
        <v>3084</v>
      </c>
      <c r="F569" s="2" t="s">
        <v>3832</v>
      </c>
      <c r="G569" s="2">
        <v>62632093270</v>
      </c>
      <c r="H569" s="2" t="s">
        <v>1362</v>
      </c>
      <c r="I569" s="2" t="s">
        <v>1363</v>
      </c>
      <c r="J569" s="3">
        <v>40444</v>
      </c>
      <c r="K569" s="2" t="s">
        <v>14</v>
      </c>
      <c r="L569" s="2" t="s">
        <v>1829</v>
      </c>
      <c r="M569" s="2" t="s">
        <v>1486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ht="26.25" x14ac:dyDescent="0.25">
      <c r="A570" s="2">
        <v>14518005</v>
      </c>
      <c r="B570" s="2" t="s">
        <v>66</v>
      </c>
      <c r="C570" s="2" t="s">
        <v>167</v>
      </c>
      <c r="D570" s="2" t="s">
        <v>593</v>
      </c>
      <c r="E570" s="2" t="s">
        <v>3085</v>
      </c>
      <c r="F570" s="2" t="s">
        <v>3833</v>
      </c>
      <c r="G570" s="2">
        <v>17243286306</v>
      </c>
      <c r="H570" s="2" t="s">
        <v>1364</v>
      </c>
      <c r="I570" s="2" t="s">
        <v>1365</v>
      </c>
      <c r="J570" s="3">
        <v>41879</v>
      </c>
      <c r="K570" s="2" t="s">
        <v>14</v>
      </c>
      <c r="L570" s="2" t="s">
        <v>1584</v>
      </c>
      <c r="M570" s="2" t="s">
        <v>1484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1</v>
      </c>
    </row>
    <row r="571" spans="1:19" ht="26.25" x14ac:dyDescent="0.25">
      <c r="A571" s="2">
        <v>16547009</v>
      </c>
      <c r="B571" s="2" t="s">
        <v>10</v>
      </c>
      <c r="C571" s="2" t="s">
        <v>3128</v>
      </c>
      <c r="D571" s="2" t="s">
        <v>3129</v>
      </c>
      <c r="E571" s="2" t="s">
        <v>1366</v>
      </c>
      <c r="F571" s="2" t="s">
        <v>3834</v>
      </c>
      <c r="G571" s="2">
        <v>28234521962</v>
      </c>
      <c r="H571" s="2" t="s">
        <v>1367</v>
      </c>
      <c r="I571" s="2" t="s">
        <v>1368</v>
      </c>
      <c r="J571" s="3">
        <v>42758</v>
      </c>
      <c r="K571" s="2" t="s">
        <v>14</v>
      </c>
      <c r="L571" s="2" t="s">
        <v>1830</v>
      </c>
      <c r="M571" s="2" t="s">
        <v>1484</v>
      </c>
      <c r="N571" s="2">
        <v>0</v>
      </c>
      <c r="O571" s="2">
        <v>0</v>
      </c>
      <c r="P571" s="2">
        <v>1</v>
      </c>
      <c r="Q571" s="2">
        <v>0</v>
      </c>
      <c r="R571" s="2">
        <v>0</v>
      </c>
      <c r="S571" s="2">
        <v>0</v>
      </c>
    </row>
    <row r="572" spans="1:19" ht="39" x14ac:dyDescent="0.25">
      <c r="A572" s="2">
        <v>13552014</v>
      </c>
      <c r="B572" s="2" t="s">
        <v>10</v>
      </c>
      <c r="C572" s="2" t="s">
        <v>3119</v>
      </c>
      <c r="D572" s="2" t="s">
        <v>19</v>
      </c>
      <c r="E572" s="2" t="s">
        <v>3086</v>
      </c>
      <c r="F572" s="2" t="s">
        <v>3835</v>
      </c>
      <c r="G572" s="2">
        <v>65584257394</v>
      </c>
      <c r="H572" s="2" t="s">
        <v>1369</v>
      </c>
      <c r="I572" s="2" t="s">
        <v>1370</v>
      </c>
      <c r="J572" s="3">
        <v>41649</v>
      </c>
      <c r="K572" s="2" t="s">
        <v>14</v>
      </c>
      <c r="L572" s="2" t="s">
        <v>1665</v>
      </c>
      <c r="M572" s="2" t="s">
        <v>1484</v>
      </c>
      <c r="N572" s="2">
        <v>0</v>
      </c>
      <c r="O572" s="2">
        <v>0</v>
      </c>
      <c r="P572" s="2">
        <v>0</v>
      </c>
      <c r="Q572" s="2">
        <v>0</v>
      </c>
      <c r="R572" s="2">
        <v>1</v>
      </c>
      <c r="S572" s="2">
        <v>0</v>
      </c>
    </row>
    <row r="573" spans="1:19" ht="39" x14ac:dyDescent="0.25">
      <c r="A573" s="2">
        <v>16513007</v>
      </c>
      <c r="B573" s="2" t="s">
        <v>10</v>
      </c>
      <c r="C573" s="2" t="s">
        <v>3128</v>
      </c>
      <c r="D573" s="2" t="s">
        <v>45</v>
      </c>
      <c r="E573" s="2" t="s">
        <v>3087</v>
      </c>
      <c r="F573" s="2" t="s">
        <v>3836</v>
      </c>
      <c r="G573" s="2">
        <v>11317623240</v>
      </c>
      <c r="H573" s="2" t="s">
        <v>1371</v>
      </c>
      <c r="I573" s="2" t="s">
        <v>1372</v>
      </c>
      <c r="J573" s="3">
        <v>42583</v>
      </c>
      <c r="K573" s="2" t="s">
        <v>14</v>
      </c>
      <c r="L573" s="2" t="s">
        <v>1831</v>
      </c>
      <c r="M573" s="2" t="s">
        <v>1484</v>
      </c>
      <c r="N573" s="2">
        <v>0</v>
      </c>
      <c r="O573" s="2">
        <v>0</v>
      </c>
      <c r="P573" s="2">
        <v>0</v>
      </c>
      <c r="Q573" s="2">
        <v>0</v>
      </c>
      <c r="R573" s="2">
        <v>1</v>
      </c>
      <c r="S573" s="2">
        <v>0</v>
      </c>
    </row>
    <row r="574" spans="1:19" ht="26.25" x14ac:dyDescent="0.25">
      <c r="A574" s="2">
        <v>16529009</v>
      </c>
      <c r="B574" s="2" t="s">
        <v>10</v>
      </c>
      <c r="C574" s="2" t="s">
        <v>32</v>
      </c>
      <c r="D574" s="2" t="s">
        <v>141</v>
      </c>
      <c r="E574" s="2" t="s">
        <v>1373</v>
      </c>
      <c r="F574" s="2" t="s">
        <v>3837</v>
      </c>
      <c r="G574" s="2">
        <v>48241588864</v>
      </c>
      <c r="H574" s="2" t="s">
        <v>1374</v>
      </c>
      <c r="I574" s="2" t="s">
        <v>1375</v>
      </c>
      <c r="J574" s="3">
        <v>42586</v>
      </c>
      <c r="K574" s="2" t="s">
        <v>14</v>
      </c>
      <c r="L574" s="2" t="s">
        <v>3237</v>
      </c>
      <c r="M574" s="2" t="s">
        <v>1484</v>
      </c>
      <c r="N574" s="2">
        <v>0</v>
      </c>
      <c r="O574" s="2">
        <v>0</v>
      </c>
      <c r="P574" s="2">
        <v>0</v>
      </c>
      <c r="Q574" s="2">
        <v>0</v>
      </c>
      <c r="R574" s="2">
        <v>1</v>
      </c>
      <c r="S574" s="2">
        <v>0</v>
      </c>
    </row>
    <row r="575" spans="1:19" ht="26.25" x14ac:dyDescent="0.25">
      <c r="A575" s="2">
        <v>14530005</v>
      </c>
      <c r="B575" s="2" t="s">
        <v>10</v>
      </c>
      <c r="C575" s="2" t="s">
        <v>32</v>
      </c>
      <c r="D575" s="2" t="s">
        <v>48</v>
      </c>
      <c r="E575" s="2" t="s">
        <v>1376</v>
      </c>
      <c r="F575" s="2" t="s">
        <v>3838</v>
      </c>
      <c r="G575" s="2">
        <v>49480256064</v>
      </c>
      <c r="H575" s="2" t="s">
        <v>1377</v>
      </c>
      <c r="I575" s="2" t="s">
        <v>1378</v>
      </c>
      <c r="J575" s="3">
        <v>41823</v>
      </c>
      <c r="K575" s="2" t="s">
        <v>14</v>
      </c>
      <c r="L575" s="2" t="s">
        <v>1727</v>
      </c>
      <c r="M575" s="2" t="s">
        <v>1484</v>
      </c>
      <c r="N575" s="2">
        <v>0</v>
      </c>
      <c r="O575" s="2">
        <v>0</v>
      </c>
      <c r="P575" s="2">
        <v>1</v>
      </c>
      <c r="Q575" s="2">
        <v>0</v>
      </c>
      <c r="R575" s="2">
        <v>0</v>
      </c>
      <c r="S575" s="2">
        <v>0</v>
      </c>
    </row>
    <row r="576" spans="1:19" ht="26.25" x14ac:dyDescent="0.25">
      <c r="A576" s="2">
        <v>13551014</v>
      </c>
      <c r="B576" s="2" t="s">
        <v>66</v>
      </c>
      <c r="C576" s="2" t="s">
        <v>3120</v>
      </c>
      <c r="D576" s="2" t="s">
        <v>1114</v>
      </c>
      <c r="E576" s="2" t="s">
        <v>1379</v>
      </c>
      <c r="F576" s="2" t="s">
        <v>3839</v>
      </c>
      <c r="G576" s="2">
        <v>33409460144</v>
      </c>
      <c r="H576" s="2" t="s">
        <v>1380</v>
      </c>
      <c r="I576" s="2" t="s">
        <v>1381</v>
      </c>
      <c r="J576" s="3">
        <v>41514</v>
      </c>
      <c r="K576" s="2" t="s">
        <v>14</v>
      </c>
      <c r="L576" s="2" t="s">
        <v>1832</v>
      </c>
      <c r="M576" s="2" t="s">
        <v>1484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</v>
      </c>
    </row>
    <row r="577" spans="1:19" ht="39" x14ac:dyDescent="0.25">
      <c r="A577" s="2">
        <v>13550004</v>
      </c>
      <c r="B577" s="2" t="s">
        <v>66</v>
      </c>
      <c r="C577" s="2" t="s">
        <v>3120</v>
      </c>
      <c r="D577" s="2" t="s">
        <v>22</v>
      </c>
      <c r="E577" s="2" t="s">
        <v>1382</v>
      </c>
      <c r="F577" s="2" t="s">
        <v>3840</v>
      </c>
      <c r="G577" s="2">
        <v>46792821638</v>
      </c>
      <c r="H577" s="2" t="s">
        <v>1383</v>
      </c>
      <c r="I577" s="2" t="s">
        <v>1384</v>
      </c>
      <c r="J577" s="3">
        <v>41460</v>
      </c>
      <c r="K577" s="2" t="s">
        <v>14</v>
      </c>
      <c r="L577" s="2" t="s">
        <v>1833</v>
      </c>
      <c r="M577" s="2" t="s">
        <v>1484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1</v>
      </c>
    </row>
    <row r="578" spans="1:19" x14ac:dyDescent="0.25">
      <c r="A578" s="2">
        <v>13565006</v>
      </c>
      <c r="B578" s="2" t="s">
        <v>66</v>
      </c>
      <c r="C578" s="2" t="s">
        <v>105</v>
      </c>
      <c r="D578" s="2" t="s">
        <v>927</v>
      </c>
      <c r="E578" s="2" t="s">
        <v>3088</v>
      </c>
      <c r="F578" s="2" t="s">
        <v>3841</v>
      </c>
      <c r="G578" s="2">
        <v>35338660206</v>
      </c>
      <c r="H578" s="2" t="s">
        <v>1385</v>
      </c>
      <c r="I578" s="2" t="s">
        <v>1386</v>
      </c>
      <c r="J578" s="3">
        <v>41653</v>
      </c>
      <c r="K578" s="2" t="s">
        <v>14</v>
      </c>
      <c r="L578" s="2" t="s">
        <v>1834</v>
      </c>
      <c r="M578" s="2" t="s">
        <v>1484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</v>
      </c>
    </row>
    <row r="579" spans="1:19" x14ac:dyDescent="0.25">
      <c r="A579" s="2">
        <v>12509102</v>
      </c>
      <c r="B579" s="2" t="s">
        <v>10</v>
      </c>
      <c r="C579" s="2" t="s">
        <v>3128</v>
      </c>
      <c r="D579" s="2" t="s">
        <v>468</v>
      </c>
      <c r="E579" s="2" t="s">
        <v>3089</v>
      </c>
      <c r="F579" s="2" t="s">
        <v>3842</v>
      </c>
      <c r="G579" s="2">
        <v>42352042956</v>
      </c>
      <c r="H579" s="2" t="s">
        <v>1387</v>
      </c>
      <c r="I579" s="2" t="s">
        <v>1388</v>
      </c>
      <c r="J579" s="3">
        <v>41319</v>
      </c>
      <c r="K579" s="2" t="s">
        <v>14</v>
      </c>
      <c r="L579" s="2" t="s">
        <v>1696</v>
      </c>
      <c r="M579" s="2" t="s">
        <v>1484</v>
      </c>
      <c r="N579" s="2">
        <v>0</v>
      </c>
      <c r="O579" s="2">
        <v>0</v>
      </c>
      <c r="P579" s="2">
        <v>0</v>
      </c>
      <c r="Q579" s="2">
        <v>0</v>
      </c>
      <c r="R579" s="2">
        <v>1</v>
      </c>
      <c r="S579" s="2">
        <v>0</v>
      </c>
    </row>
    <row r="580" spans="1:19" ht="26.25" x14ac:dyDescent="0.25">
      <c r="A580" s="2">
        <v>10543006</v>
      </c>
      <c r="B580" s="2" t="s">
        <v>10</v>
      </c>
      <c r="C580" s="2" t="s">
        <v>126</v>
      </c>
      <c r="D580" s="2" t="s">
        <v>126</v>
      </c>
      <c r="E580" s="2" t="s">
        <v>3090</v>
      </c>
      <c r="F580" s="2" t="s">
        <v>3843</v>
      </c>
      <c r="G580" s="2">
        <v>34292138158</v>
      </c>
      <c r="H580" s="2" t="s">
        <v>1389</v>
      </c>
      <c r="I580" s="2" t="s">
        <v>1390</v>
      </c>
      <c r="J580" s="3">
        <v>40442</v>
      </c>
      <c r="K580" s="2" t="s">
        <v>14</v>
      </c>
      <c r="L580" s="2" t="s">
        <v>1835</v>
      </c>
      <c r="M580" s="2" t="s">
        <v>1486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ht="39" x14ac:dyDescent="0.25">
      <c r="A581" s="2">
        <v>16516003</v>
      </c>
      <c r="B581" s="2" t="s">
        <v>10</v>
      </c>
      <c r="C581" s="2" t="s">
        <v>167</v>
      </c>
      <c r="D581" s="2" t="s">
        <v>168</v>
      </c>
      <c r="E581" s="2" t="s">
        <v>3091</v>
      </c>
      <c r="F581" s="2" t="s">
        <v>3844</v>
      </c>
      <c r="G581" s="2">
        <v>32359072124</v>
      </c>
      <c r="H581" s="2" t="s">
        <v>1391</v>
      </c>
      <c r="I581" s="2" t="s">
        <v>1392</v>
      </c>
      <c r="J581" s="3">
        <v>42584</v>
      </c>
      <c r="K581" s="2" t="s">
        <v>14</v>
      </c>
      <c r="L581" s="2" t="s">
        <v>1836</v>
      </c>
      <c r="M581" s="2" t="s">
        <v>1484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  <c r="S581" s="2">
        <v>0</v>
      </c>
    </row>
    <row r="582" spans="1:19" ht="26.25" x14ac:dyDescent="0.25">
      <c r="A582" s="2">
        <v>16501035</v>
      </c>
      <c r="B582" s="2" t="s">
        <v>10</v>
      </c>
      <c r="C582" s="2" t="s">
        <v>3130</v>
      </c>
      <c r="D582" s="2" t="s">
        <v>3130</v>
      </c>
      <c r="E582" s="2" t="s">
        <v>3092</v>
      </c>
      <c r="F582" s="2" t="s">
        <v>3845</v>
      </c>
      <c r="G582" s="2">
        <v>21844566354</v>
      </c>
      <c r="H582" s="2" t="s">
        <v>1393</v>
      </c>
      <c r="I582" s="2" t="s">
        <v>1394</v>
      </c>
      <c r="J582" s="3">
        <v>42586</v>
      </c>
      <c r="K582" s="2" t="s">
        <v>14</v>
      </c>
      <c r="L582" s="2" t="s">
        <v>1837</v>
      </c>
      <c r="M582" s="2" t="s">
        <v>1484</v>
      </c>
      <c r="N582" s="2">
        <v>0</v>
      </c>
      <c r="O582" s="2">
        <v>0</v>
      </c>
      <c r="P582" s="2">
        <v>1</v>
      </c>
      <c r="Q582" s="2">
        <v>0</v>
      </c>
      <c r="R582" s="2">
        <v>0</v>
      </c>
      <c r="S582" s="2">
        <v>0</v>
      </c>
    </row>
    <row r="583" spans="1:19" ht="26.25" x14ac:dyDescent="0.25">
      <c r="A583" s="2">
        <v>12509302</v>
      </c>
      <c r="B583" s="2" t="s">
        <v>66</v>
      </c>
      <c r="C583" s="2" t="s">
        <v>3128</v>
      </c>
      <c r="D583" s="2" t="s">
        <v>468</v>
      </c>
      <c r="E583" s="2" t="s">
        <v>3093</v>
      </c>
      <c r="F583" s="2" t="s">
        <v>3846</v>
      </c>
      <c r="G583" s="2">
        <v>42622915034</v>
      </c>
      <c r="H583" s="2" t="s">
        <v>1395</v>
      </c>
      <c r="I583" s="2" t="s">
        <v>1396</v>
      </c>
      <c r="J583" s="3">
        <v>41319</v>
      </c>
      <c r="K583" s="2" t="s">
        <v>14</v>
      </c>
      <c r="L583" s="2" t="s">
        <v>1838</v>
      </c>
      <c r="M583" s="2" t="s">
        <v>1484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1</v>
      </c>
    </row>
    <row r="584" spans="1:19" ht="51.75" x14ac:dyDescent="0.25">
      <c r="A584" s="2">
        <v>11522010</v>
      </c>
      <c r="B584" s="2" t="s">
        <v>10</v>
      </c>
      <c r="C584" s="2" t="s">
        <v>3119</v>
      </c>
      <c r="D584" s="2" t="s">
        <v>449</v>
      </c>
      <c r="E584" s="2" t="s">
        <v>3094</v>
      </c>
      <c r="F584" s="2" t="s">
        <v>3847</v>
      </c>
      <c r="G584" s="2">
        <v>22475127730</v>
      </c>
      <c r="H584" s="2" t="s">
        <v>1397</v>
      </c>
      <c r="I584" s="2" t="s">
        <v>1398</v>
      </c>
      <c r="J584" s="3">
        <v>40808</v>
      </c>
      <c r="K584" s="2" t="s">
        <v>14</v>
      </c>
      <c r="L584" s="2" t="s">
        <v>1839</v>
      </c>
      <c r="M584" s="2" t="s">
        <v>1486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ht="39" x14ac:dyDescent="0.25">
      <c r="A585" s="2">
        <v>13506002</v>
      </c>
      <c r="B585" s="2" t="s">
        <v>10</v>
      </c>
      <c r="C585" s="2" t="s">
        <v>3122</v>
      </c>
      <c r="D585" s="2" t="s">
        <v>3122</v>
      </c>
      <c r="E585" s="2" t="s">
        <v>3095</v>
      </c>
      <c r="F585" s="2" t="s">
        <v>3848</v>
      </c>
      <c r="G585" s="2">
        <v>53887117224</v>
      </c>
      <c r="H585" s="2" t="s">
        <v>1399</v>
      </c>
      <c r="I585" s="2" t="s">
        <v>1400</v>
      </c>
      <c r="J585" s="3">
        <v>41459</v>
      </c>
      <c r="K585" s="2" t="s">
        <v>14</v>
      </c>
      <c r="L585" s="2" t="s">
        <v>1536</v>
      </c>
      <c r="M585" s="2" t="s">
        <v>1484</v>
      </c>
      <c r="N585" s="2">
        <v>0</v>
      </c>
      <c r="O585" s="2">
        <v>0</v>
      </c>
      <c r="P585" s="2">
        <v>0</v>
      </c>
      <c r="Q585" s="2">
        <v>0</v>
      </c>
      <c r="R585" s="2">
        <v>1</v>
      </c>
      <c r="S585" s="2">
        <v>0</v>
      </c>
    </row>
    <row r="586" spans="1:19" ht="26.25" x14ac:dyDescent="0.25">
      <c r="A586" s="2">
        <v>14501046</v>
      </c>
      <c r="B586" s="2" t="s">
        <v>10</v>
      </c>
      <c r="C586" s="2" t="s">
        <v>3130</v>
      </c>
      <c r="D586" s="2" t="s">
        <v>3130</v>
      </c>
      <c r="E586" s="2" t="s">
        <v>3141</v>
      </c>
      <c r="F586" s="2" t="s">
        <v>3849</v>
      </c>
      <c r="G586" s="2">
        <v>25864646652</v>
      </c>
      <c r="H586" s="2" t="s">
        <v>1401</v>
      </c>
      <c r="I586" s="2" t="s">
        <v>1402</v>
      </c>
      <c r="J586" s="3">
        <v>42018</v>
      </c>
      <c r="K586" s="2" t="s">
        <v>14</v>
      </c>
      <c r="L586" s="2" t="s">
        <v>3253</v>
      </c>
      <c r="M586" s="2" t="s">
        <v>1484</v>
      </c>
      <c r="N586" s="2">
        <v>0</v>
      </c>
      <c r="O586" s="2">
        <v>0</v>
      </c>
      <c r="P586" s="2">
        <v>0</v>
      </c>
      <c r="Q586" s="2">
        <v>0</v>
      </c>
      <c r="R586" s="2">
        <v>1</v>
      </c>
      <c r="S586" s="2">
        <v>0</v>
      </c>
    </row>
    <row r="587" spans="1:19" ht="26.25" x14ac:dyDescent="0.25">
      <c r="A587" s="2">
        <v>10532013</v>
      </c>
      <c r="B587" s="2" t="s">
        <v>10</v>
      </c>
      <c r="C587" s="2" t="s">
        <v>32</v>
      </c>
      <c r="D587" s="2" t="s">
        <v>33</v>
      </c>
      <c r="E587" s="2" t="s">
        <v>3096</v>
      </c>
      <c r="F587" s="2" t="s">
        <v>3850</v>
      </c>
      <c r="G587" s="2">
        <v>20642251158</v>
      </c>
      <c r="H587" s="2" t="s">
        <v>1403</v>
      </c>
      <c r="I587" s="2" t="s">
        <v>1404</v>
      </c>
      <c r="J587" s="3">
        <v>40444</v>
      </c>
      <c r="K587" s="2" t="s">
        <v>14</v>
      </c>
      <c r="L587" s="2" t="s">
        <v>1840</v>
      </c>
      <c r="M587" s="2" t="s">
        <v>1486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</row>
    <row r="588" spans="1:19" ht="26.25" x14ac:dyDescent="0.25">
      <c r="A588" s="2">
        <v>16550019</v>
      </c>
      <c r="B588" s="2" t="s">
        <v>10</v>
      </c>
      <c r="C588" s="2" t="s">
        <v>3120</v>
      </c>
      <c r="D588" s="2" t="s">
        <v>22</v>
      </c>
      <c r="E588" s="2" t="s">
        <v>1405</v>
      </c>
      <c r="F588" s="2" t="s">
        <v>3851</v>
      </c>
      <c r="G588" s="2">
        <v>46984337688</v>
      </c>
      <c r="H588" s="2" t="s">
        <v>1406</v>
      </c>
      <c r="I588" s="2" t="s">
        <v>1407</v>
      </c>
      <c r="J588" s="3">
        <v>42758</v>
      </c>
      <c r="K588" s="2" t="s">
        <v>14</v>
      </c>
      <c r="L588" s="2" t="s">
        <v>1841</v>
      </c>
      <c r="M588" s="2" t="s">
        <v>1484</v>
      </c>
      <c r="N588" s="2">
        <v>0</v>
      </c>
      <c r="O588" s="2">
        <v>0</v>
      </c>
      <c r="P588" s="2">
        <v>1</v>
      </c>
      <c r="Q588" s="2">
        <v>0</v>
      </c>
      <c r="R588" s="2">
        <v>0</v>
      </c>
      <c r="S588" s="2">
        <v>0</v>
      </c>
    </row>
    <row r="589" spans="1:19" ht="39" x14ac:dyDescent="0.25">
      <c r="A589" s="2">
        <v>12508102</v>
      </c>
      <c r="B589" s="2" t="s">
        <v>10</v>
      </c>
      <c r="C589" s="2" t="s">
        <v>3142</v>
      </c>
      <c r="D589" s="2" t="s">
        <v>3142</v>
      </c>
      <c r="E589" s="2" t="s">
        <v>3097</v>
      </c>
      <c r="F589" s="2" t="s">
        <v>3852</v>
      </c>
      <c r="G589" s="2">
        <v>39979241756</v>
      </c>
      <c r="H589" s="2" t="s">
        <v>1408</v>
      </c>
      <c r="I589" s="2" t="s">
        <v>1409</v>
      </c>
      <c r="J589" s="3">
        <v>41313</v>
      </c>
      <c r="K589" s="2" t="s">
        <v>14</v>
      </c>
      <c r="L589" s="2" t="s">
        <v>3260</v>
      </c>
      <c r="M589" s="2" t="s">
        <v>1484</v>
      </c>
      <c r="N589" s="2">
        <v>0</v>
      </c>
      <c r="O589" s="2">
        <v>0</v>
      </c>
      <c r="P589" s="2">
        <v>1</v>
      </c>
      <c r="Q589" s="2">
        <v>0</v>
      </c>
      <c r="R589" s="2">
        <v>0</v>
      </c>
      <c r="S589" s="2">
        <v>0</v>
      </c>
    </row>
    <row r="590" spans="1:19" ht="39" x14ac:dyDescent="0.25">
      <c r="A590" s="2">
        <v>13532016</v>
      </c>
      <c r="B590" s="2" t="s">
        <v>10</v>
      </c>
      <c r="C590" s="2" t="s">
        <v>32</v>
      </c>
      <c r="D590" s="2" t="s">
        <v>33</v>
      </c>
      <c r="E590" s="2" t="s">
        <v>3098</v>
      </c>
      <c r="F590" s="2" t="s">
        <v>3853</v>
      </c>
      <c r="G590" s="2">
        <v>45172203576</v>
      </c>
      <c r="H590" s="2" t="s">
        <v>1410</v>
      </c>
      <c r="I590" s="2" t="s">
        <v>1411</v>
      </c>
      <c r="J590" s="3">
        <v>41523</v>
      </c>
      <c r="K590" s="2" t="s">
        <v>14</v>
      </c>
      <c r="L590" s="2" t="s">
        <v>1842</v>
      </c>
      <c r="M590" s="2" t="s">
        <v>1484</v>
      </c>
      <c r="N590" s="2">
        <v>0</v>
      </c>
      <c r="O590" s="2">
        <v>0</v>
      </c>
      <c r="P590" s="2">
        <v>1</v>
      </c>
      <c r="Q590" s="2">
        <v>0</v>
      </c>
      <c r="R590" s="2">
        <v>0</v>
      </c>
      <c r="S590" s="2">
        <v>0</v>
      </c>
    </row>
    <row r="591" spans="1:19" ht="39" x14ac:dyDescent="0.25">
      <c r="A591" s="2">
        <v>17543005</v>
      </c>
      <c r="B591" s="2" t="s">
        <v>10</v>
      </c>
      <c r="C591" s="2" t="s">
        <v>126</v>
      </c>
      <c r="D591" s="2" t="s">
        <v>126</v>
      </c>
      <c r="E591" s="2" t="s">
        <v>3099</v>
      </c>
      <c r="F591" s="2" t="s">
        <v>3854</v>
      </c>
      <c r="G591" s="2">
        <v>11566299098</v>
      </c>
      <c r="H591" s="2" t="s">
        <v>1412</v>
      </c>
      <c r="I591" s="2" t="s">
        <v>1413</v>
      </c>
      <c r="J591" s="3">
        <v>42921</v>
      </c>
      <c r="K591" s="2" t="s">
        <v>14</v>
      </c>
      <c r="L591" s="2" t="s">
        <v>3261</v>
      </c>
      <c r="M591" s="2" t="s">
        <v>1484</v>
      </c>
      <c r="N591" s="2">
        <v>0</v>
      </c>
      <c r="O591" s="2">
        <v>0</v>
      </c>
      <c r="P591" s="2">
        <v>0</v>
      </c>
      <c r="Q591" s="2">
        <v>0</v>
      </c>
      <c r="R591" s="2">
        <v>1</v>
      </c>
      <c r="S591" s="2">
        <v>0</v>
      </c>
    </row>
    <row r="592" spans="1:19" ht="26.25" x14ac:dyDescent="0.25">
      <c r="A592" s="2">
        <v>15501069</v>
      </c>
      <c r="B592" s="2" t="s">
        <v>10</v>
      </c>
      <c r="C592" s="2" t="s">
        <v>3130</v>
      </c>
      <c r="D592" s="2" t="s">
        <v>3130</v>
      </c>
      <c r="E592" s="2" t="s">
        <v>3100</v>
      </c>
      <c r="F592" s="2" t="s">
        <v>3855</v>
      </c>
      <c r="G592" s="2">
        <v>99286839442</v>
      </c>
      <c r="H592" s="2" t="s">
        <v>1414</v>
      </c>
      <c r="I592" s="2" t="s">
        <v>1415</v>
      </c>
      <c r="J592" s="3">
        <v>42418</v>
      </c>
      <c r="K592" s="2" t="s">
        <v>14</v>
      </c>
      <c r="L592" s="2" t="s">
        <v>1843</v>
      </c>
      <c r="M592" s="2" t="s">
        <v>1484</v>
      </c>
      <c r="N592" s="2">
        <v>0</v>
      </c>
      <c r="O592" s="2">
        <v>0</v>
      </c>
      <c r="P592" s="2">
        <v>1</v>
      </c>
      <c r="Q592" s="2">
        <v>0</v>
      </c>
      <c r="R592" s="2">
        <v>0</v>
      </c>
      <c r="S592" s="2">
        <v>0</v>
      </c>
    </row>
    <row r="593" spans="1:19" ht="39" x14ac:dyDescent="0.25">
      <c r="A593" s="2">
        <v>15516004</v>
      </c>
      <c r="B593" s="2" t="s">
        <v>10</v>
      </c>
      <c r="C593" s="2" t="s">
        <v>167</v>
      </c>
      <c r="D593" s="2" t="s">
        <v>168</v>
      </c>
      <c r="E593" s="2" t="s">
        <v>3101</v>
      </c>
      <c r="F593" s="2" t="s">
        <v>3856</v>
      </c>
      <c r="G593" s="2">
        <v>31915606988</v>
      </c>
      <c r="H593" s="2" t="s">
        <v>1416</v>
      </c>
      <c r="I593" s="2" t="s">
        <v>1417</v>
      </c>
      <c r="J593" s="3">
        <v>42389</v>
      </c>
      <c r="K593" s="2" t="s">
        <v>14</v>
      </c>
      <c r="L593" s="2" t="s">
        <v>1844</v>
      </c>
      <c r="M593" s="2" t="s">
        <v>1484</v>
      </c>
      <c r="N593" s="2">
        <v>0</v>
      </c>
      <c r="O593" s="2">
        <v>0</v>
      </c>
      <c r="P593" s="2">
        <v>0</v>
      </c>
      <c r="Q593" s="2">
        <v>0</v>
      </c>
      <c r="R593" s="2">
        <v>1</v>
      </c>
      <c r="S593" s="2">
        <v>0</v>
      </c>
    </row>
    <row r="594" spans="1:19" ht="39" x14ac:dyDescent="0.25">
      <c r="A594" s="2">
        <v>13555006</v>
      </c>
      <c r="B594" s="2" t="s">
        <v>66</v>
      </c>
      <c r="C594" s="2" t="s">
        <v>3117</v>
      </c>
      <c r="D594" s="2" t="s">
        <v>3147</v>
      </c>
      <c r="E594" s="2" t="s">
        <v>3102</v>
      </c>
      <c r="F594" s="2" t="s">
        <v>3857</v>
      </c>
      <c r="G594" s="2">
        <v>40526179026</v>
      </c>
      <c r="H594" s="2" t="s">
        <v>1418</v>
      </c>
      <c r="I594" s="2" t="s">
        <v>1419</v>
      </c>
      <c r="J594" s="3">
        <v>41460</v>
      </c>
      <c r="K594" s="2" t="s">
        <v>14</v>
      </c>
      <c r="L594" s="2" t="s">
        <v>1845</v>
      </c>
      <c r="M594" s="2" t="s">
        <v>1484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1</v>
      </c>
    </row>
    <row r="595" spans="1:19" ht="51.75" x14ac:dyDescent="0.25">
      <c r="A595" s="2">
        <v>13550027</v>
      </c>
      <c r="B595" s="2" t="s">
        <v>10</v>
      </c>
      <c r="C595" s="2" t="s">
        <v>3120</v>
      </c>
      <c r="D595" s="2" t="s">
        <v>22</v>
      </c>
      <c r="E595" s="2" t="s">
        <v>3103</v>
      </c>
      <c r="F595" s="2" t="s">
        <v>3858</v>
      </c>
      <c r="G595" s="2">
        <v>25813450514</v>
      </c>
      <c r="H595" s="2" t="s">
        <v>1420</v>
      </c>
      <c r="I595" s="2" t="s">
        <v>1421</v>
      </c>
      <c r="J595" s="3">
        <v>41660</v>
      </c>
      <c r="K595" s="2" t="s">
        <v>158</v>
      </c>
      <c r="L595" s="2" t="s">
        <v>1823</v>
      </c>
      <c r="M595" s="2" t="s">
        <v>1484</v>
      </c>
      <c r="N595" s="2">
        <v>0</v>
      </c>
      <c r="O595" s="2">
        <v>0</v>
      </c>
      <c r="P595" s="2">
        <v>0</v>
      </c>
      <c r="Q595" s="2">
        <v>0</v>
      </c>
      <c r="R595" s="2">
        <v>1</v>
      </c>
      <c r="S595" s="2">
        <v>0</v>
      </c>
    </row>
    <row r="596" spans="1:19" ht="39" x14ac:dyDescent="0.25">
      <c r="A596" s="2">
        <v>16550006</v>
      </c>
      <c r="B596" s="2" t="s">
        <v>10</v>
      </c>
      <c r="C596" s="2" t="s">
        <v>3120</v>
      </c>
      <c r="D596" s="2" t="s">
        <v>22</v>
      </c>
      <c r="E596" s="2" t="s">
        <v>3104</v>
      </c>
      <c r="F596" s="2" t="s">
        <v>3859</v>
      </c>
      <c r="G596" s="2">
        <v>68485051962</v>
      </c>
      <c r="H596" s="2" t="s">
        <v>1422</v>
      </c>
      <c r="I596" s="2" t="s">
        <v>1423</v>
      </c>
      <c r="J596" s="3">
        <v>42584</v>
      </c>
      <c r="K596" s="2" t="s">
        <v>14</v>
      </c>
      <c r="L596" s="2" t="s">
        <v>3262</v>
      </c>
      <c r="M596" s="2" t="s">
        <v>1484</v>
      </c>
      <c r="N596" s="2">
        <v>0</v>
      </c>
      <c r="O596" s="2">
        <v>0</v>
      </c>
      <c r="P596" s="2">
        <v>0</v>
      </c>
      <c r="Q596" s="2">
        <v>0</v>
      </c>
      <c r="R596" s="2">
        <v>1</v>
      </c>
      <c r="S596" s="2">
        <v>0</v>
      </c>
    </row>
    <row r="597" spans="1:19" ht="26.25" x14ac:dyDescent="0.25">
      <c r="A597" s="2">
        <v>9522005</v>
      </c>
      <c r="B597" s="2" t="s">
        <v>10</v>
      </c>
      <c r="C597" s="2" t="s">
        <v>3119</v>
      </c>
      <c r="D597" s="2" t="s">
        <v>449</v>
      </c>
      <c r="E597" s="2" t="s">
        <v>1424</v>
      </c>
      <c r="F597" s="2" t="s">
        <v>3860</v>
      </c>
      <c r="G597" s="2">
        <v>24509157812</v>
      </c>
      <c r="H597" s="2" t="s">
        <v>1425</v>
      </c>
      <c r="I597" s="2" t="s">
        <v>1426</v>
      </c>
      <c r="J597" s="3">
        <v>40071</v>
      </c>
      <c r="K597" s="2" t="s">
        <v>14</v>
      </c>
      <c r="L597" s="2" t="s">
        <v>1846</v>
      </c>
      <c r="M597" s="2" t="s">
        <v>1486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ht="26.25" x14ac:dyDescent="0.25">
      <c r="A598" s="2">
        <v>13549027</v>
      </c>
      <c r="B598" s="2" t="s">
        <v>10</v>
      </c>
      <c r="C598" s="2" t="s">
        <v>3117</v>
      </c>
      <c r="D598" s="2" t="s">
        <v>11</v>
      </c>
      <c r="E598" s="2" t="s">
        <v>3105</v>
      </c>
      <c r="F598" s="2" t="s">
        <v>3861</v>
      </c>
      <c r="G598" s="2">
        <v>10216416786</v>
      </c>
      <c r="H598" s="2" t="s">
        <v>1427</v>
      </c>
      <c r="I598" s="2" t="s">
        <v>1428</v>
      </c>
      <c r="J598" s="3">
        <v>41652</v>
      </c>
      <c r="K598" s="2" t="s">
        <v>14</v>
      </c>
      <c r="L598" s="2" t="s">
        <v>1660</v>
      </c>
      <c r="M598" s="2" t="s">
        <v>1484</v>
      </c>
      <c r="N598" s="2">
        <v>0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</row>
    <row r="599" spans="1:19" ht="26.25" x14ac:dyDescent="0.25">
      <c r="A599" s="2">
        <v>9534006</v>
      </c>
      <c r="B599" s="2" t="s">
        <v>10</v>
      </c>
      <c r="C599" s="2" t="s">
        <v>32</v>
      </c>
      <c r="D599" s="2" t="s">
        <v>196</v>
      </c>
      <c r="E599" s="2" t="s">
        <v>1429</v>
      </c>
      <c r="F599" s="2" t="s">
        <v>3862</v>
      </c>
      <c r="G599" s="2">
        <v>19226223322</v>
      </c>
      <c r="H599" s="2" t="s">
        <v>1430</v>
      </c>
      <c r="I599" s="2" t="s">
        <v>1431</v>
      </c>
      <c r="J599" s="3">
        <v>40074</v>
      </c>
      <c r="K599" s="2" t="s">
        <v>14</v>
      </c>
      <c r="L599" s="2" t="s">
        <v>1563</v>
      </c>
      <c r="M599" s="2" t="s">
        <v>1486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ht="39" x14ac:dyDescent="0.25">
      <c r="A600" s="2">
        <v>12534003</v>
      </c>
      <c r="B600" s="2" t="s">
        <v>10</v>
      </c>
      <c r="C600" s="2" t="s">
        <v>32</v>
      </c>
      <c r="D600" s="2" t="s">
        <v>196</v>
      </c>
      <c r="E600" s="2" t="s">
        <v>3106</v>
      </c>
      <c r="F600" s="2" t="s">
        <v>3863</v>
      </c>
      <c r="G600" s="2">
        <v>23744563914</v>
      </c>
      <c r="H600" s="2" t="s">
        <v>1432</v>
      </c>
      <c r="I600" s="2" t="s">
        <v>1433</v>
      </c>
      <c r="J600" s="3">
        <v>41163</v>
      </c>
      <c r="K600" s="2" t="s">
        <v>14</v>
      </c>
      <c r="L600" s="2" t="s">
        <v>1847</v>
      </c>
      <c r="M600" s="2" t="s">
        <v>1486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ht="39" x14ac:dyDescent="0.25">
      <c r="A601" s="2">
        <v>13551015</v>
      </c>
      <c r="B601" s="2" t="s">
        <v>10</v>
      </c>
      <c r="C601" s="2" t="s">
        <v>3120</v>
      </c>
      <c r="D601" s="2" t="s">
        <v>1114</v>
      </c>
      <c r="E601" s="2" t="s">
        <v>3107</v>
      </c>
      <c r="F601" s="2" t="s">
        <v>3864</v>
      </c>
      <c r="G601" s="2">
        <v>15104714418</v>
      </c>
      <c r="H601" s="2" t="s">
        <v>1434</v>
      </c>
      <c r="I601" s="2" t="s">
        <v>1435</v>
      </c>
      <c r="J601" s="3">
        <v>41523</v>
      </c>
      <c r="K601" s="2" t="s">
        <v>14</v>
      </c>
      <c r="L601" s="2" t="s">
        <v>1848</v>
      </c>
      <c r="M601" s="2" t="s">
        <v>1484</v>
      </c>
      <c r="N601" s="2">
        <v>0</v>
      </c>
      <c r="O601" s="2">
        <v>0</v>
      </c>
      <c r="P601" s="2">
        <v>1</v>
      </c>
      <c r="Q601" s="2">
        <v>0</v>
      </c>
      <c r="R601" s="2">
        <v>0</v>
      </c>
      <c r="S601" s="2">
        <v>0</v>
      </c>
    </row>
    <row r="602" spans="1:19" ht="51.75" x14ac:dyDescent="0.25">
      <c r="A602" s="2">
        <v>15542003</v>
      </c>
      <c r="B602" s="2" t="s">
        <v>66</v>
      </c>
      <c r="C602" s="2" t="s">
        <v>185</v>
      </c>
      <c r="D602" s="2" t="s">
        <v>185</v>
      </c>
      <c r="E602" s="2" t="s">
        <v>3108</v>
      </c>
      <c r="F602" s="2" t="s">
        <v>3865</v>
      </c>
      <c r="G602" s="2">
        <v>24367448312</v>
      </c>
      <c r="H602" s="2" t="s">
        <v>1436</v>
      </c>
      <c r="I602" s="2" t="s">
        <v>1437</v>
      </c>
      <c r="J602" s="3">
        <v>42181</v>
      </c>
      <c r="K602" s="2" t="s">
        <v>14</v>
      </c>
      <c r="L602" s="2" t="s">
        <v>1849</v>
      </c>
      <c r="M602" s="2" t="s">
        <v>1484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</v>
      </c>
    </row>
    <row r="603" spans="1:19" ht="26.25" x14ac:dyDescent="0.25">
      <c r="A603" s="2">
        <v>15522024</v>
      </c>
      <c r="B603" s="2" t="s">
        <v>10</v>
      </c>
      <c r="C603" s="2" t="s">
        <v>3119</v>
      </c>
      <c r="D603" s="2" t="s">
        <v>449</v>
      </c>
      <c r="E603" s="2" t="s">
        <v>3109</v>
      </c>
      <c r="F603" s="2" t="s">
        <v>3866</v>
      </c>
      <c r="G603" s="2">
        <v>41845166544</v>
      </c>
      <c r="H603" s="2" t="s">
        <v>1438</v>
      </c>
      <c r="I603" s="2" t="s">
        <v>1439</v>
      </c>
      <c r="J603" s="3">
        <v>42247</v>
      </c>
      <c r="K603" s="2" t="s">
        <v>14</v>
      </c>
      <c r="L603" s="2" t="s">
        <v>1645</v>
      </c>
      <c r="M603" s="2" t="s">
        <v>1484</v>
      </c>
      <c r="N603" s="2">
        <v>0</v>
      </c>
      <c r="O603" s="2">
        <v>0</v>
      </c>
      <c r="P603" s="2">
        <v>0</v>
      </c>
      <c r="Q603" s="2">
        <v>0</v>
      </c>
      <c r="R603" s="2">
        <v>1</v>
      </c>
      <c r="S603" s="2">
        <v>0</v>
      </c>
    </row>
    <row r="604" spans="1:19" ht="39" x14ac:dyDescent="0.25">
      <c r="A604" s="2">
        <v>15593009</v>
      </c>
      <c r="B604" s="2" t="s">
        <v>10</v>
      </c>
      <c r="C604" s="2" t="s">
        <v>3144</v>
      </c>
      <c r="D604" s="2" t="s">
        <v>368</v>
      </c>
      <c r="E604" s="2" t="s">
        <v>3110</v>
      </c>
      <c r="F604" s="2" t="s">
        <v>3867</v>
      </c>
      <c r="G604" s="2">
        <v>47014750378</v>
      </c>
      <c r="H604" s="2" t="s">
        <v>1440</v>
      </c>
      <c r="I604" s="2" t="s">
        <v>1441</v>
      </c>
      <c r="J604" s="3">
        <v>42394</v>
      </c>
      <c r="K604" s="2" t="s">
        <v>14</v>
      </c>
      <c r="L604" s="2" t="s">
        <v>1850</v>
      </c>
      <c r="M604" s="2" t="s">
        <v>1484</v>
      </c>
      <c r="N604" s="2">
        <v>0</v>
      </c>
      <c r="O604" s="2">
        <v>0</v>
      </c>
      <c r="P604" s="2">
        <v>0</v>
      </c>
      <c r="Q604" s="2">
        <v>0</v>
      </c>
      <c r="R604" s="2">
        <v>1</v>
      </c>
      <c r="S604" s="2">
        <v>0</v>
      </c>
    </row>
    <row r="605" spans="1:19" ht="26.25" x14ac:dyDescent="0.25">
      <c r="A605" s="2">
        <v>16522004</v>
      </c>
      <c r="B605" s="2" t="s">
        <v>10</v>
      </c>
      <c r="C605" s="2" t="s">
        <v>3119</v>
      </c>
      <c r="D605" s="2" t="s">
        <v>449</v>
      </c>
      <c r="E605" s="2" t="s">
        <v>1442</v>
      </c>
      <c r="F605" s="2" t="s">
        <v>3868</v>
      </c>
      <c r="G605" s="2">
        <v>20642173948</v>
      </c>
      <c r="H605" s="2" t="s">
        <v>1443</v>
      </c>
      <c r="I605" s="2" t="s">
        <v>1444</v>
      </c>
      <c r="J605" s="3">
        <v>42583</v>
      </c>
      <c r="K605" s="2" t="s">
        <v>110</v>
      </c>
      <c r="L605" s="2" t="s">
        <v>1851</v>
      </c>
      <c r="M605" s="2" t="s">
        <v>1484</v>
      </c>
      <c r="N605" s="2">
        <v>0</v>
      </c>
      <c r="O605" s="2">
        <v>0</v>
      </c>
      <c r="P605" s="2">
        <v>1</v>
      </c>
      <c r="Q605" s="2">
        <v>0</v>
      </c>
      <c r="R605" s="2">
        <v>0</v>
      </c>
      <c r="S605" s="2">
        <v>0</v>
      </c>
    </row>
    <row r="606" spans="1:19" ht="39" x14ac:dyDescent="0.25">
      <c r="A606" s="2">
        <v>12532008</v>
      </c>
      <c r="B606" s="2" t="s">
        <v>10</v>
      </c>
      <c r="C606" s="2" t="s">
        <v>32</v>
      </c>
      <c r="D606" s="2" t="s">
        <v>33</v>
      </c>
      <c r="E606" s="2" t="s">
        <v>3111</v>
      </c>
      <c r="F606" s="2" t="s">
        <v>3869</v>
      </c>
      <c r="G606" s="2">
        <v>38080038460</v>
      </c>
      <c r="H606" s="2" t="s">
        <v>1445</v>
      </c>
      <c r="I606" s="2" t="s">
        <v>1446</v>
      </c>
      <c r="J606" s="3">
        <v>41163</v>
      </c>
      <c r="K606" s="2" t="s">
        <v>14</v>
      </c>
      <c r="L606" s="2" t="s">
        <v>1628</v>
      </c>
      <c r="M606" s="2" t="s">
        <v>1486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</row>
    <row r="607" spans="1:19" ht="39" x14ac:dyDescent="0.25">
      <c r="A607" s="2">
        <v>12536011</v>
      </c>
      <c r="B607" s="2" t="s">
        <v>10</v>
      </c>
      <c r="C607" s="2" t="s">
        <v>32</v>
      </c>
      <c r="D607" s="2" t="s">
        <v>299</v>
      </c>
      <c r="E607" s="2" t="s">
        <v>3112</v>
      </c>
      <c r="F607" s="2" t="s">
        <v>3870</v>
      </c>
      <c r="G607" s="2">
        <v>30199278560</v>
      </c>
      <c r="H607" s="2" t="s">
        <v>1447</v>
      </c>
      <c r="I607" s="2" t="s">
        <v>1448</v>
      </c>
      <c r="J607" s="3">
        <v>41165</v>
      </c>
      <c r="K607" s="2" t="s">
        <v>14</v>
      </c>
      <c r="L607" s="2" t="s">
        <v>1852</v>
      </c>
      <c r="M607" s="2" t="s">
        <v>1486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ht="39" x14ac:dyDescent="0.25">
      <c r="A608" s="2">
        <v>17506006</v>
      </c>
      <c r="B608" s="2" t="s">
        <v>10</v>
      </c>
      <c r="C608" s="2" t="s">
        <v>3122</v>
      </c>
      <c r="D608" s="2" t="s">
        <v>3122</v>
      </c>
      <c r="E608" s="2" t="s">
        <v>1449</v>
      </c>
      <c r="F608" s="2" t="s">
        <v>3871</v>
      </c>
      <c r="G608" s="2">
        <v>38059628876</v>
      </c>
      <c r="H608" s="2" t="s">
        <v>1450</v>
      </c>
      <c r="I608" s="2" t="s">
        <v>1451</v>
      </c>
      <c r="J608" s="3">
        <v>42922</v>
      </c>
      <c r="K608" s="2" t="s">
        <v>14</v>
      </c>
      <c r="L608" s="2" t="s">
        <v>1536</v>
      </c>
      <c r="M608" s="2" t="s">
        <v>1484</v>
      </c>
      <c r="N608" s="2">
        <v>0</v>
      </c>
      <c r="O608" s="2">
        <v>0</v>
      </c>
      <c r="P608" s="2">
        <v>0</v>
      </c>
      <c r="Q608" s="2">
        <v>0</v>
      </c>
      <c r="R608" s="2">
        <v>1</v>
      </c>
      <c r="S608" s="2">
        <v>0</v>
      </c>
    </row>
    <row r="609" spans="1:19" ht="39" x14ac:dyDescent="0.25">
      <c r="A609" s="2">
        <v>15551013</v>
      </c>
      <c r="B609" s="2" t="s">
        <v>10</v>
      </c>
      <c r="C609" s="2" t="s">
        <v>3120</v>
      </c>
      <c r="D609" s="2" t="s">
        <v>1114</v>
      </c>
      <c r="E609" s="2" t="s">
        <v>3113</v>
      </c>
      <c r="F609" s="2" t="s">
        <v>3872</v>
      </c>
      <c r="G609" s="2">
        <v>6498607</v>
      </c>
      <c r="H609" s="2" t="s">
        <v>1452</v>
      </c>
      <c r="I609" s="2" t="s">
        <v>1453</v>
      </c>
      <c r="J609" s="3">
        <v>42300</v>
      </c>
      <c r="K609" s="2" t="s">
        <v>14</v>
      </c>
      <c r="L609" s="2" t="s">
        <v>1853</v>
      </c>
      <c r="M609" s="2" t="s">
        <v>1484</v>
      </c>
      <c r="N609" s="2">
        <v>0</v>
      </c>
      <c r="O609" s="2">
        <v>0</v>
      </c>
      <c r="P609" s="2">
        <v>0</v>
      </c>
      <c r="Q609" s="2">
        <v>0</v>
      </c>
      <c r="R609" s="2">
        <v>1</v>
      </c>
      <c r="S609" s="2">
        <v>0</v>
      </c>
    </row>
    <row r="610" spans="1:19" ht="26.25" x14ac:dyDescent="0.25">
      <c r="A610" s="2">
        <v>12526202</v>
      </c>
      <c r="B610" s="2" t="s">
        <v>66</v>
      </c>
      <c r="C610" s="2" t="s">
        <v>3134</v>
      </c>
      <c r="D610" s="2" t="s">
        <v>3134</v>
      </c>
      <c r="E610" s="2" t="s">
        <v>3114</v>
      </c>
      <c r="F610" s="2" t="s">
        <v>3873</v>
      </c>
      <c r="G610" s="2">
        <v>43540210188</v>
      </c>
      <c r="H610" s="2" t="s">
        <v>1454</v>
      </c>
      <c r="I610" s="2" t="s">
        <v>1455</v>
      </c>
      <c r="J610" s="3">
        <v>41162</v>
      </c>
      <c r="K610" s="2" t="s">
        <v>14</v>
      </c>
      <c r="L610" s="2" t="s">
        <v>1854</v>
      </c>
      <c r="M610" s="2" t="s">
        <v>1484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1</v>
      </c>
    </row>
    <row r="611" spans="1:19" ht="26.25" x14ac:dyDescent="0.25">
      <c r="A611" s="2">
        <v>13568020</v>
      </c>
      <c r="B611" s="2" t="s">
        <v>66</v>
      </c>
      <c r="C611" s="2" t="s">
        <v>3125</v>
      </c>
      <c r="D611" s="2" t="s">
        <v>3125</v>
      </c>
      <c r="E611" s="2" t="s">
        <v>3115</v>
      </c>
      <c r="F611" s="2" t="s">
        <v>3874</v>
      </c>
      <c r="G611" s="2">
        <v>11896102648</v>
      </c>
      <c r="H611" s="2" t="s">
        <v>1456</v>
      </c>
      <c r="I611" s="2" t="s">
        <v>1457</v>
      </c>
      <c r="J611" s="3">
        <v>41520</v>
      </c>
      <c r="K611" s="2" t="s">
        <v>14</v>
      </c>
      <c r="L611" s="2" t="s">
        <v>1855</v>
      </c>
      <c r="M611" s="2" t="s">
        <v>1484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D21"/>
  <sheetViews>
    <sheetView tabSelected="1" topLeftCell="A5" workbookViewId="0">
      <selection activeCell="A3" sqref="A3:D20"/>
    </sheetView>
  </sheetViews>
  <sheetFormatPr defaultRowHeight="15" x14ac:dyDescent="0.25"/>
  <cols>
    <col min="1" max="1" width="21" style="11" customWidth="1"/>
    <col min="2" max="2" width="17" style="15" customWidth="1"/>
    <col min="3" max="3" width="20.5703125" style="15" customWidth="1"/>
    <col min="4" max="4" width="25.5703125" style="15" customWidth="1"/>
    <col min="5" max="16384" width="9.140625" style="15"/>
  </cols>
  <sheetData>
    <row r="1" spans="1:4" s="11" customFormat="1" x14ac:dyDescent="0.25">
      <c r="A1" s="9" t="s">
        <v>1465</v>
      </c>
      <c r="B1" s="25">
        <v>11558004</v>
      </c>
      <c r="C1" s="10" t="s">
        <v>1466</v>
      </c>
      <c r="D1" s="10"/>
    </row>
    <row r="3" spans="1:4" s="11" customFormat="1" x14ac:dyDescent="0.25">
      <c r="A3" s="12" t="s">
        <v>1458</v>
      </c>
      <c r="B3" s="12" t="s">
        <v>1467</v>
      </c>
      <c r="C3" s="12" t="s">
        <v>1876</v>
      </c>
      <c r="D3" s="12" t="s">
        <v>1877</v>
      </c>
    </row>
    <row r="4" spans="1:4" s="14" customFormat="1" ht="30" x14ac:dyDescent="0.25">
      <c r="A4" s="13">
        <f>VLOOKUP(B1,BasvuruListesi!A:S,1,0)</f>
        <v>11558004</v>
      </c>
      <c r="B4" s="26" t="str">
        <f>VLOOKUP(B1,BasvuruListesi!A:S,6,0)</f>
        <v>Merve NUR GÜNEN</v>
      </c>
      <c r="C4" s="27" t="str">
        <f>VLOOKUP(B1,BasvuruListesi!A:S,3,0)</f>
        <v>Şehir ve Bölge Planlama</v>
      </c>
      <c r="D4" s="27" t="str">
        <f>VLOOKUP(B1,BasvuruListesi!A:K,4,0)</f>
        <v>Kentsel Mekan Organizasyon - Tasarım</v>
      </c>
    </row>
    <row r="5" spans="1:4" x14ac:dyDescent="0.25">
      <c r="A5" s="12" t="s">
        <v>1468</v>
      </c>
      <c r="B5" s="42">
        <f>VLOOKUP(B1,BasvuruListesi!A:S,10,0)</f>
        <v>40806</v>
      </c>
      <c r="C5" s="43"/>
      <c r="D5" s="44"/>
    </row>
    <row r="6" spans="1:4" x14ac:dyDescent="0.25">
      <c r="A6" s="12" t="s">
        <v>1471</v>
      </c>
      <c r="B6" s="41" t="str">
        <f>VLOOKUP(B1,BasvuruListesi!A:S,13,0)</f>
        <v>Yok</v>
      </c>
      <c r="C6" s="39"/>
      <c r="D6" s="40"/>
    </row>
    <row r="7" spans="1:4" x14ac:dyDescent="0.25">
      <c r="A7" s="12" t="s">
        <v>2659</v>
      </c>
      <c r="B7" s="18" t="str">
        <f>IF((VLOOKUP(B1,BasvuruListesi!A:S,14,0))&gt;0, "PATENT", IF(VLOOKUP(B1,BasvuruListesi!A:S,15,0)&gt;0,"PROJE", IF(VLOOKUP(B1,BasvuruListesi!A:S,16,0)&gt;0,"UL Bildiri",  IF(VLOOKUP(B1,BasvuruListesi!A:S,17,0)&gt;0,"UL Makale",  IF(VLOOKUP(B1,BasvuruListesi!A:S,18,0)&gt;0,"UA Bildiri",  IF(VLOOKUP(B1,BasvuruListesi!A:S,19,0)&gt;0,"UA Makale","Yayın YOK" ))))))</f>
        <v>Yayın YOK</v>
      </c>
      <c r="C7" s="19"/>
      <c r="D7" s="20"/>
    </row>
    <row r="8" spans="1:4" ht="30" x14ac:dyDescent="0.25">
      <c r="A8" s="16" t="s">
        <v>1878</v>
      </c>
      <c r="B8" s="45" t="str">
        <f>VLOOKUP(B1,BasvuruListesi!A:S,5,0)</f>
        <v>Tarihi Kent Dokusunda Kamusal Alan Tasarımı Bursa Hanlar Bölgesi Örneğinde Uygulanabirliğinin İncelenmesi</v>
      </c>
      <c r="C8" s="45"/>
      <c r="D8" s="45"/>
    </row>
    <row r="9" spans="1:4" ht="18.75" customHeight="1" x14ac:dyDescent="0.25">
      <c r="A9" s="17" t="s">
        <v>1470</v>
      </c>
      <c r="B9" s="46" t="s">
        <v>2853</v>
      </c>
      <c r="C9" s="47"/>
      <c r="D9" s="48"/>
    </row>
    <row r="10" spans="1:4" x14ac:dyDescent="0.25">
      <c r="A10" s="12" t="s">
        <v>1469</v>
      </c>
      <c r="B10" s="38" t="str">
        <f>VLOOKUP(B1,BasvuruListesi!A:S,12,0)</f>
        <v>Doç. Dr. N. HÜLYA BERKMEN</v>
      </c>
      <c r="C10" s="39"/>
      <c r="D10" s="40"/>
    </row>
    <row r="11" spans="1:4" s="11" customFormat="1" x14ac:dyDescent="0.25">
      <c r="A11" s="29" t="s">
        <v>1463</v>
      </c>
      <c r="B11" s="21" t="s">
        <v>3264</v>
      </c>
      <c r="C11" s="22" t="s">
        <v>3263</v>
      </c>
      <c r="D11" s="23" t="s">
        <v>1876</v>
      </c>
    </row>
    <row r="12" spans="1:4" ht="30" x14ac:dyDescent="0.25">
      <c r="A12" s="12" t="s">
        <v>1459</v>
      </c>
      <c r="B12" s="32" t="s">
        <v>3896</v>
      </c>
      <c r="C12" s="30" t="s">
        <v>2043</v>
      </c>
      <c r="D12" s="33" t="str">
        <f>VLOOKUP(Table1[[#This Row],[Ad-Soyad]],JuriKurumici!A1:D894,4)</f>
        <v>SEHİR BÖLGE PLAN.BÖL</v>
      </c>
    </row>
    <row r="13" spans="1:4" x14ac:dyDescent="0.25">
      <c r="A13" s="12" t="s">
        <v>1460</v>
      </c>
      <c r="B13" s="32" t="str">
        <f>VLOOKUP(Table1[[#This Row],[Ad-Soyad]],JuriKurumici!A:D,2,0)</f>
        <v>Dr.Öğr.Üyesi</v>
      </c>
      <c r="C13" s="30" t="s">
        <v>1922</v>
      </c>
      <c r="D13" s="33" t="str">
        <f>VLOOKUP(Table1[[#This Row],[Ad-Soyad]],JuriKurumici!A1:D894,4)</f>
        <v>SEHİR BÖLGE PLAN.BÖL</v>
      </c>
    </row>
    <row r="14" spans="1:4" ht="30" x14ac:dyDescent="0.25">
      <c r="A14" s="12" t="s">
        <v>1461</v>
      </c>
      <c r="B14" s="32" t="str">
        <f>VLOOKUP(Table1[[#This Row],[Ad-Soyad]],JuriKurumici!A:D,2,0)</f>
        <v>Doç.Dr.</v>
      </c>
      <c r="C14" s="30" t="s">
        <v>2121</v>
      </c>
      <c r="D14" s="33" t="str">
        <f>VLOOKUP(Table1[[#This Row],[Ad-Soyad]],JuriKurumici!A1:D894,4)</f>
        <v>SEHİR BÖLGE PLAN.BÖL</v>
      </c>
    </row>
    <row r="15" spans="1:4" x14ac:dyDescent="0.25">
      <c r="A15" s="12" t="s">
        <v>1462</v>
      </c>
      <c r="B15" s="32" t="e">
        <f>VLOOKUP(Table1[[#This Row],[Ad-Soyad]],JuriKurumici!A:D,2,0)</f>
        <v>#N/A</v>
      </c>
      <c r="C15" s="30"/>
      <c r="D15" s="33" t="e">
        <f>VLOOKUP(Table1[[#This Row],[Ad-Soyad]],JuriKurumici!A1:D894,3,0)</f>
        <v>#N/A</v>
      </c>
    </row>
    <row r="16" spans="1:4" x14ac:dyDescent="0.25">
      <c r="A16" s="29" t="s">
        <v>1464</v>
      </c>
      <c r="B16" s="28" t="s">
        <v>3264</v>
      </c>
      <c r="C16" s="28" t="s">
        <v>3263</v>
      </c>
      <c r="D16" s="28" t="s">
        <v>1876</v>
      </c>
    </row>
    <row r="17" spans="1:4" ht="30" x14ac:dyDescent="0.25">
      <c r="A17" s="17" t="s">
        <v>1459</v>
      </c>
      <c r="B17" s="56" t="s">
        <v>3897</v>
      </c>
      <c r="C17" s="57" t="s">
        <v>3898</v>
      </c>
      <c r="D17" s="58" t="s">
        <v>3899</v>
      </c>
    </row>
    <row r="18" spans="1:4" x14ac:dyDescent="0.25">
      <c r="A18" s="17" t="s">
        <v>1460</v>
      </c>
      <c r="B18" s="56" t="s">
        <v>3896</v>
      </c>
      <c r="C18" s="57" t="s">
        <v>3900</v>
      </c>
      <c r="D18" s="58" t="s">
        <v>3899</v>
      </c>
    </row>
    <row r="19" spans="1:4" x14ac:dyDescent="0.25">
      <c r="A19" s="17" t="s">
        <v>1461</v>
      </c>
      <c r="B19" s="56" t="s">
        <v>3901</v>
      </c>
      <c r="C19" s="57" t="s">
        <v>3902</v>
      </c>
      <c r="D19" s="58" t="s">
        <v>3903</v>
      </c>
    </row>
    <row r="20" spans="1:4" x14ac:dyDescent="0.25">
      <c r="A20" s="17" t="s">
        <v>1462</v>
      </c>
      <c r="B20" s="56" t="s">
        <v>3897</v>
      </c>
      <c r="C20" s="57" t="s">
        <v>3904</v>
      </c>
      <c r="D20" s="58" t="s">
        <v>3903</v>
      </c>
    </row>
    <row r="21" spans="1:4" x14ac:dyDescent="0.25">
      <c r="B21" s="56"/>
      <c r="C21" s="59"/>
      <c r="D21" s="60" t="e">
        <f>VLOOKUP(Table1[Unvan],JuriKurumici!A:D,4,0)</f>
        <v>#N/A</v>
      </c>
    </row>
  </sheetData>
  <dataConsolidate/>
  <mergeCells count="5">
    <mergeCell ref="B10:D10"/>
    <mergeCell ref="B6:D6"/>
    <mergeCell ref="B5:D5"/>
    <mergeCell ref="B8:D8"/>
    <mergeCell ref="B9:D9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JuriKurumici!$A$2:$A$992</xm:f>
          </x14:formula1>
          <xm:sqref>C12:C15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D20" sqref="D20"/>
    </sheetView>
  </sheetViews>
  <sheetFormatPr defaultRowHeight="15" x14ac:dyDescent="0.25"/>
  <cols>
    <col min="1" max="1" width="17.140625" style="11" customWidth="1"/>
    <col min="2" max="2" width="18" style="15" customWidth="1"/>
    <col min="3" max="3" width="19.42578125" style="15" customWidth="1"/>
    <col min="4" max="4" width="25.5703125" style="15" customWidth="1"/>
    <col min="5" max="16384" width="9.140625" style="15"/>
  </cols>
  <sheetData>
    <row r="1" spans="1:4" s="11" customFormat="1" x14ac:dyDescent="0.25">
      <c r="A1" s="9" t="s">
        <v>1465</v>
      </c>
      <c r="B1" s="2">
        <v>16504021</v>
      </c>
      <c r="C1" s="10" t="s">
        <v>1466</v>
      </c>
      <c r="D1" s="10"/>
    </row>
    <row r="3" spans="1:4" s="11" customFormat="1" x14ac:dyDescent="0.25">
      <c r="A3" s="17" t="s">
        <v>1458</v>
      </c>
      <c r="B3" s="17" t="s">
        <v>3883</v>
      </c>
      <c r="C3" s="17" t="s">
        <v>1876</v>
      </c>
      <c r="D3" s="17" t="s">
        <v>1877</v>
      </c>
    </row>
    <row r="4" spans="1:4" s="14" customFormat="1" ht="34.5" customHeight="1" x14ac:dyDescent="0.25">
      <c r="A4" s="13">
        <f>VLOOKUP(B1,BasvuruListesi!A:S,1,0)</f>
        <v>16504021</v>
      </c>
      <c r="B4" s="27" t="str">
        <f>VLOOKUP(B1,BasvuruListesi!A:S,6,0)</f>
        <v>Yunus EMRE FEDAR</v>
      </c>
      <c r="C4" s="27" t="str">
        <f>VLOOKUP(B1,BasvuruListesi!A:S,3,0)</f>
        <v>Elektronik ve Haberleşme Müh.</v>
      </c>
      <c r="D4" s="27" t="str">
        <f>VLOOKUP(B1,BasvuruListesi!A:K,4,0)</f>
        <v>Elektronik</v>
      </c>
    </row>
    <row r="5" spans="1:4" x14ac:dyDescent="0.25">
      <c r="A5" s="17" t="s">
        <v>3875</v>
      </c>
      <c r="B5" s="51" t="str">
        <f>VLOOKUP(B1,BasvuruListesi!A:S,12,0)</f>
        <v>Prof. Dr. Herman SEDEF</v>
      </c>
      <c r="C5" s="39"/>
      <c r="D5" s="40"/>
    </row>
    <row r="6" spans="1:4" x14ac:dyDescent="0.25">
      <c r="A6" s="37" t="s">
        <v>3876</v>
      </c>
      <c r="B6" s="49" t="str">
        <f>VLOOKUP(B1,BasvuruListesi!A:S,5,0)</f>
        <v>Gelişmiş Mikrodenetleyici Kontrollü Akıllı Ev Otomasyonu</v>
      </c>
      <c r="C6" s="49"/>
      <c r="D6" s="49"/>
    </row>
    <row r="7" spans="1:4" x14ac:dyDescent="0.25">
      <c r="A7" s="37" t="s">
        <v>3881</v>
      </c>
      <c r="B7" s="46"/>
      <c r="C7" s="47"/>
      <c r="D7" s="48"/>
    </row>
    <row r="8" spans="1:4" ht="14.25" customHeight="1" x14ac:dyDescent="0.25">
      <c r="A8" s="37" t="s">
        <v>3882</v>
      </c>
      <c r="B8" s="46"/>
      <c r="C8" s="47"/>
      <c r="D8" s="48"/>
    </row>
    <row r="9" spans="1:4" x14ac:dyDescent="0.25">
      <c r="A9" s="17" t="s">
        <v>1468</v>
      </c>
      <c r="B9" s="42">
        <f>VLOOKUP(B1,BasvuruListesi!A:S,10,0)</f>
        <v>42614</v>
      </c>
      <c r="C9" s="43"/>
      <c r="D9" s="44"/>
    </row>
    <row r="10" spans="1:4" x14ac:dyDescent="0.25">
      <c r="A10" s="17" t="s">
        <v>3877</v>
      </c>
      <c r="B10" s="41" t="str">
        <f>VLOOKUP(B1,BasvuruListesi!A:S,13,0)</f>
        <v>Var</v>
      </c>
      <c r="C10" s="39"/>
      <c r="D10" s="40"/>
    </row>
    <row r="11" spans="1:4" x14ac:dyDescent="0.25">
      <c r="A11" s="17" t="s">
        <v>3878</v>
      </c>
      <c r="B11" s="52" t="str">
        <f>IF((VLOOKUP(B1,BasvuruListesi!A:S,14,0))&gt;0, "PATENT", IF(VLOOKUP(B1,BasvuruListesi!A:S,15,0)&gt;0,"PROJE", IF(VLOOKUP(B1,BasvuruListesi!A:S,16,0)&gt;0,"UL Bildiri",  IF(VLOOKUP(B1,BasvuruListesi!A:S,17,0)&gt;0,"UL Makale",  IF(VLOOKUP(B1,BasvuruListesi!A:S,18,0)&gt;0,"UA Bildiri",  IF(VLOOKUP(B1,BasvuruListesi!A:S,19,0)&gt;0,"UA Makale","Yayın YOK" ))))))</f>
        <v>UL Bildiri</v>
      </c>
      <c r="C11" s="43"/>
      <c r="D11" s="44"/>
    </row>
    <row r="12" spans="1:4" x14ac:dyDescent="0.25">
      <c r="A12" s="17" t="s">
        <v>3879</v>
      </c>
      <c r="B12" s="50" t="s">
        <v>3880</v>
      </c>
      <c r="C12" s="50"/>
      <c r="D12" s="50"/>
    </row>
    <row r="18" spans="3:3" x14ac:dyDescent="0.25">
      <c r="C18" s="36"/>
    </row>
  </sheetData>
  <sheetProtection algorithmName="SHA-512" hashValue="+zsvqlPfOBt+ygLCYDdSH7Z3hl48nm2KYalwFMzgRUgEv/bXsf+7HJysLNZbxRC11zRndNMZ8At0vzsLGxlNpw==" saltValue="TvyFCYLMkOTV5sQWngrWlg==" spinCount="100000" sheet="1" objects="1" scenarios="1"/>
  <mergeCells count="8">
    <mergeCell ref="B9:D9"/>
    <mergeCell ref="B10:D10"/>
    <mergeCell ref="B6:D6"/>
    <mergeCell ref="B12:D12"/>
    <mergeCell ref="B5:D5"/>
    <mergeCell ref="B11:D11"/>
    <mergeCell ref="B7:D7"/>
    <mergeCell ref="B8:D8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topLeftCell="A5" workbookViewId="0">
      <selection activeCell="E14" sqref="E14"/>
    </sheetView>
  </sheetViews>
  <sheetFormatPr defaultRowHeight="15" x14ac:dyDescent="0.25"/>
  <cols>
    <col min="1" max="1" width="21" style="11" customWidth="1"/>
    <col min="2" max="2" width="17" style="15" customWidth="1"/>
    <col min="3" max="3" width="20.5703125" style="15" customWidth="1"/>
    <col min="4" max="4" width="25.5703125" style="15" customWidth="1"/>
    <col min="5" max="16384" width="9.140625" style="15"/>
  </cols>
  <sheetData>
    <row r="1" spans="1:4" s="11" customFormat="1" x14ac:dyDescent="0.25">
      <c r="A1" s="9" t="s">
        <v>1465</v>
      </c>
      <c r="B1" s="25">
        <v>15549018</v>
      </c>
      <c r="C1" s="10" t="s">
        <v>1466</v>
      </c>
      <c r="D1" s="10"/>
    </row>
    <row r="3" spans="1:4" s="11" customFormat="1" x14ac:dyDescent="0.25">
      <c r="A3" s="12" t="s">
        <v>1458</v>
      </c>
      <c r="B3" s="12" t="s">
        <v>1467</v>
      </c>
      <c r="C3" s="12" t="s">
        <v>1876</v>
      </c>
      <c r="D3" s="12" t="s">
        <v>1877</v>
      </c>
    </row>
    <row r="4" spans="1:4" s="14" customFormat="1" ht="26.25" x14ac:dyDescent="0.25">
      <c r="A4" s="13">
        <f>VLOOKUP(B1,BasvuruListesi!A:S,1,0)</f>
        <v>15549018</v>
      </c>
      <c r="B4" s="26" t="str">
        <f>VLOOKUP(B1,BasvuruListesi!A:S,6,0)</f>
        <v>İsmail CEM AÇIKGÖZ</v>
      </c>
      <c r="C4" s="27" t="str">
        <f>VLOOKUP(B1,BasvuruListesi!A:S,3,0)</f>
        <v>Elektrik Müh.</v>
      </c>
      <c r="D4" s="27" t="str">
        <f>VLOOKUP(B1,BasvuruListesi!A:K,4,0)</f>
        <v>Elektrik Tesisleri</v>
      </c>
    </row>
    <row r="5" spans="1:4" x14ac:dyDescent="0.25">
      <c r="A5" s="12" t="s">
        <v>1468</v>
      </c>
      <c r="B5" s="42">
        <f>VLOOKUP(B1,BasvuruListesi!A:S,10,0)</f>
        <v>42191</v>
      </c>
      <c r="C5" s="43"/>
      <c r="D5" s="44"/>
    </row>
    <row r="6" spans="1:4" x14ac:dyDescent="0.25">
      <c r="A6" s="12" t="s">
        <v>1471</v>
      </c>
      <c r="B6" s="41" t="str">
        <f>VLOOKUP(B1,BasvuruListesi!A:S,13,0)</f>
        <v>Var</v>
      </c>
      <c r="C6" s="39"/>
      <c r="D6" s="40"/>
    </row>
    <row r="7" spans="1:4" x14ac:dyDescent="0.25">
      <c r="A7" s="12" t="s">
        <v>2659</v>
      </c>
      <c r="B7" s="18" t="str">
        <f>IF((VLOOKUP(B1,BasvuruListesi!A:S,14,0))&gt;0, "PATENT", IF(VLOOKUP(B1,BasvuruListesi!A:S,15,0)&gt;0,"PROJE", IF(VLOOKUP(B1,BasvuruListesi!A:S,16,0)&gt;0,"UL Bildiri",  IF(VLOOKUP(B1,BasvuruListesi!A:S,17,0)&gt;0,"UL Makale",  IF(VLOOKUP(B1,BasvuruListesi!A:S,18,0)&gt;0,"UA Bildiri",  IF(VLOOKUP(B1,BasvuruListesi!A:S,19,0)&gt;0,"UA Makale","Yayın YOK" ))))))</f>
        <v>UA Bildiri</v>
      </c>
      <c r="C7" s="34"/>
      <c r="D7" s="35"/>
    </row>
    <row r="8" spans="1:4" ht="30" x14ac:dyDescent="0.25">
      <c r="A8" s="16" t="s">
        <v>1878</v>
      </c>
      <c r="B8" s="45" t="str">
        <f>VLOOKUP(B1,BasvuruListesi!A:S,5,0)</f>
        <v>Volan Ve Lı-Ion Batarya Enerji Depolama Sistemlerinin Kıyaslanması Ve Hibrit Enerji Depolama Sisteminin Farklı Yük Profilleri Üzerinde Performans Analizi</v>
      </c>
      <c r="C8" s="45"/>
      <c r="D8" s="45"/>
    </row>
    <row r="9" spans="1:4" ht="18.75" customHeight="1" x14ac:dyDescent="0.25">
      <c r="A9" s="17" t="s">
        <v>1470</v>
      </c>
      <c r="B9" s="46" t="s">
        <v>3887</v>
      </c>
      <c r="C9" s="47"/>
      <c r="D9" s="48"/>
    </row>
    <row r="10" spans="1:4" x14ac:dyDescent="0.25">
      <c r="A10" s="12" t="s">
        <v>1469</v>
      </c>
      <c r="B10" s="38" t="str">
        <f>VLOOKUP(B1,BasvuruListesi!A:S,12,0)</f>
        <v>Dr. Öğr. Üyesi Mustafa BAYSAL</v>
      </c>
      <c r="C10" s="39"/>
      <c r="D10" s="40"/>
    </row>
    <row r="11" spans="1:4" x14ac:dyDescent="0.25">
      <c r="A11" s="17" t="s">
        <v>3884</v>
      </c>
      <c r="B11" s="53"/>
      <c r="C11" s="54"/>
      <c r="D11" s="54"/>
    </row>
    <row r="12" spans="1:4" x14ac:dyDescent="0.25">
      <c r="A12" s="17" t="s">
        <v>3885</v>
      </c>
      <c r="B12" s="53"/>
      <c r="C12" s="54"/>
      <c r="D12" s="54"/>
    </row>
    <row r="13" spans="1:4" s="11" customFormat="1" x14ac:dyDescent="0.25">
      <c r="A13" s="29" t="s">
        <v>1463</v>
      </c>
      <c r="B13" s="21" t="s">
        <v>3264</v>
      </c>
      <c r="C13" s="22" t="s">
        <v>3263</v>
      </c>
      <c r="D13" s="23" t="s">
        <v>1876</v>
      </c>
    </row>
    <row r="14" spans="1:4" x14ac:dyDescent="0.25">
      <c r="A14" s="12" t="s">
        <v>1459</v>
      </c>
      <c r="B14" s="32" t="str">
        <f>VLOOKUP(Table14[[#This Row],[Ad-Soyad]],JuriKurumici!A:D,2,0)</f>
        <v>Dr.Öğr.Üyesi</v>
      </c>
      <c r="C14" s="30" t="s">
        <v>2003</v>
      </c>
      <c r="D14" s="33" t="str">
        <f>VLOOKUP(Table14[[#This Row],[Ad-Soyad]],JuriKurumici!A1:D894,4)</f>
        <v xml:space="preserve">ELEKTRİK MÜH. </v>
      </c>
    </row>
    <row r="15" spans="1:4" x14ac:dyDescent="0.25">
      <c r="A15" s="12" t="s">
        <v>1460</v>
      </c>
      <c r="B15" s="32" t="str">
        <f>VLOOKUP(Table14[[#This Row],[Ad-Soyad]],JuriKurumici!A:D,2,0)</f>
        <v>Dr.Öğr.Üyesi</v>
      </c>
      <c r="C15" s="30" t="s">
        <v>1943</v>
      </c>
      <c r="D15" s="33" t="str">
        <f>VLOOKUP(Table14[[#This Row],[Ad-Soyad]],JuriKurumici!A1:D894,4)</f>
        <v xml:space="preserve">ELEKTRİK MÜH. </v>
      </c>
    </row>
    <row r="16" spans="1:4" x14ac:dyDescent="0.25">
      <c r="A16" s="12" t="s">
        <v>1461</v>
      </c>
      <c r="B16" s="32" t="str">
        <f>VLOOKUP(Table14[[#This Row],[Ad-Soyad]],JuriKurumici!A:D,2,0)</f>
        <v>Dr.Öğr.Üyesi</v>
      </c>
      <c r="C16" s="30" t="s">
        <v>2434</v>
      </c>
      <c r="D16" s="33" t="str">
        <f>VLOOKUP(Table14[[#This Row],[Ad-Soyad]],JuriKurumici!A1:D894,4)</f>
        <v xml:space="preserve">ELEKTRİK MÜH. </v>
      </c>
    </row>
    <row r="17" spans="1:4" x14ac:dyDescent="0.25">
      <c r="A17" s="12" t="s">
        <v>1462</v>
      </c>
      <c r="B17" s="32" t="str">
        <f>VLOOKUP(Table14[[#This Row],[Ad-Soyad]],JuriKurumici!A:D,2,0)</f>
        <v>Doç.Dr.</v>
      </c>
      <c r="C17" s="30" t="s">
        <v>2488</v>
      </c>
      <c r="D17" s="33" t="str">
        <f>VLOOKUP(Table14[[#This Row],[Ad-Soyad]],JuriKurumici!A1:D894,3,0)</f>
        <v>ELEKTRİK- ELEK. FAKÜLTESİ</v>
      </c>
    </row>
    <row r="18" spans="1:4" x14ac:dyDescent="0.25">
      <c r="A18" s="29" t="s">
        <v>1464</v>
      </c>
      <c r="B18" s="28" t="s">
        <v>3264</v>
      </c>
      <c r="C18" s="28" t="s">
        <v>3263</v>
      </c>
      <c r="D18" s="28" t="s">
        <v>3886</v>
      </c>
    </row>
    <row r="19" spans="1:4" x14ac:dyDescent="0.25">
      <c r="A19" s="17" t="s">
        <v>1459</v>
      </c>
      <c r="B19" s="24" t="s">
        <v>1895</v>
      </c>
      <c r="C19" s="31" t="s">
        <v>3888</v>
      </c>
      <c r="D19" s="31" t="s">
        <v>3889</v>
      </c>
    </row>
    <row r="20" spans="1:4" x14ac:dyDescent="0.25">
      <c r="A20" s="17" t="s">
        <v>1460</v>
      </c>
      <c r="B20" s="24" t="s">
        <v>3890</v>
      </c>
      <c r="C20" s="31" t="s">
        <v>3891</v>
      </c>
      <c r="D20" s="31" t="s">
        <v>3892</v>
      </c>
    </row>
    <row r="21" spans="1:4" x14ac:dyDescent="0.25">
      <c r="A21" s="17" t="s">
        <v>1461</v>
      </c>
      <c r="B21" s="24" t="s">
        <v>3890</v>
      </c>
      <c r="C21" s="31" t="s">
        <v>3893</v>
      </c>
      <c r="D21" s="31" t="s">
        <v>3894</v>
      </c>
    </row>
    <row r="22" spans="1:4" x14ac:dyDescent="0.25">
      <c r="A22" s="17" t="s">
        <v>1462</v>
      </c>
      <c r="B22" s="24" t="s">
        <v>3890</v>
      </c>
      <c r="C22" s="31" t="s">
        <v>3895</v>
      </c>
      <c r="D22" s="31" t="s">
        <v>3892</v>
      </c>
    </row>
  </sheetData>
  <sheetProtection algorithmName="SHA-512" hashValue="tatUBnD9UBxA+yhNsDeTh8VwoD7nHtwvQOk9shjicGF8MqlkRfYylw3dtgMLzKFiV8zDCIIopP9EeFr+/JUw2w==" saltValue="PwKsNxvkc249UVjQr7q4Lw==" spinCount="100000" sheet="1" objects="1" scenarios="1"/>
  <mergeCells count="7">
    <mergeCell ref="B12:D12"/>
    <mergeCell ref="B5:D5"/>
    <mergeCell ref="B6:D6"/>
    <mergeCell ref="B8:D8"/>
    <mergeCell ref="B9:D9"/>
    <mergeCell ref="B10:D10"/>
    <mergeCell ref="B11:D1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JuriKurumici!$A$2:$A$992</xm:f>
          </x14:formula1>
          <xm:sqref>C14:C17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B19" sqref="B19"/>
    </sheetView>
  </sheetViews>
  <sheetFormatPr defaultRowHeight="15" x14ac:dyDescent="0.25"/>
  <cols>
    <col min="1" max="1" width="16.85546875" customWidth="1"/>
    <col min="2" max="2" width="17.140625" customWidth="1"/>
    <col min="3" max="3" width="18.140625" customWidth="1"/>
    <col min="4" max="4" width="15.5703125" customWidth="1"/>
  </cols>
  <sheetData>
    <row r="1" spans="1:4" x14ac:dyDescent="0.25">
      <c r="A1" s="9" t="s">
        <v>1465</v>
      </c>
      <c r="B1" s="2">
        <v>16504021</v>
      </c>
      <c r="C1" s="10" t="s">
        <v>1466</v>
      </c>
      <c r="D1" s="10"/>
    </row>
    <row r="2" spans="1:4" x14ac:dyDescent="0.25">
      <c r="A2" s="11"/>
      <c r="B2" s="15"/>
      <c r="C2" s="15"/>
      <c r="D2" s="15"/>
    </row>
    <row r="3" spans="1:4" x14ac:dyDescent="0.25">
      <c r="A3" s="17" t="s">
        <v>1458</v>
      </c>
      <c r="B3" s="17" t="s">
        <v>3883</v>
      </c>
      <c r="C3" s="17" t="s">
        <v>1876</v>
      </c>
      <c r="D3" s="17" t="s">
        <v>1877</v>
      </c>
    </row>
    <row r="4" spans="1:4" ht="30" x14ac:dyDescent="0.25">
      <c r="A4" s="13">
        <f>VLOOKUP(B1,BasvuruListesi!A:S,1,0)</f>
        <v>16504021</v>
      </c>
      <c r="B4" s="27" t="str">
        <f>VLOOKUP(B1,BasvuruListesi!A:S,6,0)</f>
        <v>Yunus EMRE FEDAR</v>
      </c>
      <c r="C4" s="27" t="str">
        <f>VLOOKUP(B1,BasvuruListesi!A:S,3,0)</f>
        <v>Elektronik ve Haberleşme Müh.</v>
      </c>
      <c r="D4" s="27" t="str">
        <f>VLOOKUP(B1,BasvuruListesi!A:K,4,0)</f>
        <v>Elektronik</v>
      </c>
    </row>
    <row r="5" spans="1:4" x14ac:dyDescent="0.25">
      <c r="A5" s="17" t="s">
        <v>3875</v>
      </c>
      <c r="B5" s="38" t="str">
        <f>VLOOKUP(B1,BasvuruListesi!A:S,12,0)</f>
        <v>Prof. Dr. Herman SEDEF</v>
      </c>
      <c r="C5" s="43"/>
      <c r="D5" s="44"/>
    </row>
    <row r="6" spans="1:4" x14ac:dyDescent="0.25">
      <c r="A6" s="37" t="s">
        <v>3876</v>
      </c>
      <c r="B6" s="49" t="str">
        <f>VLOOKUP(B1,BasvuruListesi!A:S,5,0)</f>
        <v>Gelişmiş Mikrodenetleyici Kontrollü Akıllı Ev Otomasyonu</v>
      </c>
      <c r="C6" s="49"/>
      <c r="D6" s="49"/>
    </row>
    <row r="7" spans="1:4" x14ac:dyDescent="0.25">
      <c r="A7" s="37" t="s">
        <v>3881</v>
      </c>
      <c r="B7" s="46"/>
      <c r="C7" s="47"/>
      <c r="D7" s="48"/>
    </row>
    <row r="8" spans="1:4" x14ac:dyDescent="0.25">
      <c r="A8" s="37" t="s">
        <v>3882</v>
      </c>
      <c r="B8" s="46"/>
      <c r="C8" s="47"/>
      <c r="D8" s="48"/>
    </row>
    <row r="9" spans="1:4" x14ac:dyDescent="0.25">
      <c r="A9" s="17" t="s">
        <v>1468</v>
      </c>
      <c r="B9" s="42">
        <f>VLOOKUP(B1,BasvuruListesi!A:S,10,0)</f>
        <v>42614</v>
      </c>
      <c r="C9" s="43"/>
      <c r="D9" s="44"/>
    </row>
    <row r="10" spans="1:4" x14ac:dyDescent="0.25">
      <c r="A10" s="17" t="s">
        <v>3877</v>
      </c>
      <c r="B10" s="41" t="str">
        <f>VLOOKUP(B1,BasvuruListesi!A:S,13,0)</f>
        <v>Var</v>
      </c>
      <c r="C10" s="39"/>
      <c r="D10" s="40"/>
    </row>
    <row r="11" spans="1:4" x14ac:dyDescent="0.25">
      <c r="A11" s="17" t="s">
        <v>3878</v>
      </c>
      <c r="B11" s="52" t="str">
        <f>IF((VLOOKUP(B1,BasvuruListesi!A:S,14,0))&gt;0, "PATENT", IF(VLOOKUP(B1,BasvuruListesi!A:S,15,0)&gt;0,"PROJE", IF(VLOOKUP(B1,BasvuruListesi!A:S,16,0)&gt;0,"UL Bildiri",  IF(VLOOKUP(B1,BasvuruListesi!A:S,17,0)&gt;0,"UL Makale",  IF(VLOOKUP(B1,BasvuruListesi!A:S,18,0)&gt;0,"UA Bildiri",  IF(VLOOKUP(B1,BasvuruListesi!A:S,19,0)&gt;0,"UA Makale","Yayın YOK" ))))))</f>
        <v>UL Bildiri</v>
      </c>
      <c r="C11" s="43"/>
      <c r="D11" s="44"/>
    </row>
    <row r="12" spans="1:4" x14ac:dyDescent="0.25">
      <c r="A12" s="17" t="s">
        <v>3879</v>
      </c>
      <c r="B12" s="55" t="s">
        <v>3880</v>
      </c>
      <c r="C12" s="55"/>
      <c r="D12" s="55"/>
    </row>
  </sheetData>
  <sheetProtection algorithmName="SHA-512" hashValue="ENdUcIvfFohGrV0i9eZsjEAh5oJorwYb+zpDpDingkC5hWiRb1q/SJyCFXj6X/PqGE/+eAFe2zj//GPGcVpAIQ==" saltValue="Dcl6Va737EhrFa7SBft4zw==" spinCount="100000" sheet="1" objects="1" scenarios="1"/>
  <mergeCells count="8">
    <mergeCell ref="B11:D11"/>
    <mergeCell ref="B12:D12"/>
    <mergeCell ref="B5:D5"/>
    <mergeCell ref="B6:D6"/>
    <mergeCell ref="B7:D7"/>
    <mergeCell ref="B8:D8"/>
    <mergeCell ref="B9:D9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JuriKurumici</vt:lpstr>
      <vt:lpstr>BasvuruListesi</vt:lpstr>
      <vt:lpstr>YL Jüri</vt:lpstr>
      <vt:lpstr>YL Mezuniyet</vt:lpstr>
      <vt:lpstr>DR Jüri</vt:lpstr>
      <vt:lpstr>DR Mezuniyet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Songül Varlı</dc:creator>
  <cp:lastModifiedBy>Pencere</cp:lastModifiedBy>
  <cp:lastPrinted>2019-06-21T14:49:55Z</cp:lastPrinted>
  <dcterms:created xsi:type="dcterms:W3CDTF">2019-06-17T17:11:09Z</dcterms:created>
  <dcterms:modified xsi:type="dcterms:W3CDTF">2019-07-23T08:49:28Z</dcterms:modified>
</cp:coreProperties>
</file>