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C:\Users\teknopark\Desktop\"/>
    </mc:Choice>
  </mc:AlternateContent>
  <xr:revisionPtr revIDLastSave="0" documentId="13_ncr:1_{1B792032-59B3-4254-8A91-645857BD6DB2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YTTO" sheetId="8" r:id="rId1"/>
  </sheets>
  <definedNames>
    <definedName name="_serkannnn" localSheetId="0" hidden="1">YTTO!$A$1:$L$195</definedName>
    <definedName name="_xlnm._FilterDatabase" localSheetId="0" hidden="1">YTTO!$A$1:$L$329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09" i="8" l="1"/>
  <c r="H407" i="8"/>
  <c r="H405" i="8"/>
  <c r="H403" i="8"/>
  <c r="H401" i="8"/>
  <c r="H399" i="8"/>
  <c r="H395" i="8"/>
  <c r="H391" i="8"/>
  <c r="H389" i="8"/>
  <c r="H387" i="8"/>
  <c r="H377" i="8"/>
  <c r="H375" i="8"/>
  <c r="H373" i="8"/>
  <c r="H371" i="8"/>
  <c r="H369" i="8"/>
  <c r="H354" i="8"/>
  <c r="H348" i="8"/>
  <c r="H343" i="8"/>
  <c r="H341" i="8"/>
  <c r="H339" i="8"/>
  <c r="H336" i="8"/>
  <c r="H334" i="8"/>
  <c r="H332" i="8"/>
  <c r="H323" i="8" l="1"/>
  <c r="H319" i="8"/>
  <c r="H315" i="8"/>
  <c r="H313" i="8"/>
  <c r="H311" i="8"/>
  <c r="H307" i="8"/>
  <c r="H303" i="8"/>
  <c r="H305" i="8"/>
  <c r="H301" i="8"/>
  <c r="H299" i="8"/>
  <c r="H297" i="8"/>
  <c r="H295" i="8"/>
  <c r="H293" i="8"/>
  <c r="H291" i="8"/>
  <c r="H289" i="8"/>
  <c r="H287" i="8"/>
  <c r="H285" i="8"/>
  <c r="H283" i="8"/>
  <c r="H281" i="8"/>
  <c r="H278" i="8"/>
  <c r="H275" i="8"/>
  <c r="H273" i="8"/>
  <c r="H271" i="8"/>
  <c r="H269" i="8"/>
  <c r="H267" i="8"/>
  <c r="H265" i="8"/>
  <c r="H261" i="8"/>
  <c r="H259" i="8"/>
  <c r="H257" i="8"/>
  <c r="H255" i="8"/>
  <c r="H253" i="8"/>
  <c r="H251" i="8"/>
  <c r="H249" i="8"/>
  <c r="H247" i="8"/>
  <c r="H244" i="8"/>
  <c r="H238" i="8"/>
  <c r="H236" i="8"/>
  <c r="H234" i="8"/>
  <c r="H232" i="8"/>
  <c r="H230" i="8"/>
  <c r="H228" i="8"/>
  <c r="H226" i="8"/>
  <c r="H224" i="8"/>
  <c r="H222" i="8"/>
  <c r="H219" i="8"/>
  <c r="H217" i="8"/>
  <c r="H215" i="8"/>
  <c r="H213" i="8"/>
  <c r="H211" i="8"/>
  <c r="H209" i="8"/>
  <c r="H207" i="8"/>
  <c r="H205" i="8"/>
  <c r="H203" i="8"/>
  <c r="H200" i="8"/>
  <c r="H198" i="8"/>
  <c r="H196" i="8"/>
  <c r="H194" i="8"/>
  <c r="H192" i="8"/>
  <c r="H190" i="8"/>
  <c r="H188" i="8"/>
  <c r="H184" i="8"/>
  <c r="H182" i="8"/>
  <c r="H180" i="8"/>
  <c r="H178" i="8"/>
  <c r="H172" i="8"/>
  <c r="H170" i="8"/>
  <c r="H167" i="8"/>
  <c r="H165" i="8"/>
  <c r="H155" i="8"/>
  <c r="H153" i="8"/>
  <c r="H151" i="8"/>
  <c r="H149" i="8"/>
  <c r="H145" i="8"/>
  <c r="H141" i="8"/>
  <c r="H139" i="8"/>
  <c r="H137" i="8"/>
  <c r="H135" i="8"/>
  <c r="H131" i="8"/>
  <c r="H125" i="8"/>
  <c r="H123" i="8"/>
  <c r="H120" i="8"/>
  <c r="H116" i="8"/>
  <c r="H114" i="8"/>
  <c r="H112" i="8"/>
  <c r="H106" i="8"/>
  <c r="H102" i="8"/>
  <c r="H92" i="8"/>
  <c r="H89" i="8"/>
  <c r="H80" i="8"/>
  <c r="H21" i="8"/>
  <c r="H11" i="8"/>
  <c r="H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Serkan OYLAŞ</author>
  </authors>
  <commentList>
    <comment ref="H389" authorId="0" shapeId="0" xr:uid="{97DD9CEA-E131-4E28-8D33-3C5DBE009B27}">
      <text>
        <r>
          <rPr>
            <b/>
            <sz val="10"/>
            <color rgb="FF000000"/>
            <rFont val="Tahoma"/>
            <family val="2"/>
            <charset val="162"/>
          </rPr>
          <t>Serkan OYLAŞ: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Proje Bütçesi 500.000 TL üzeri olduğu için YTTO Kurum Hissesi %12 dir.</t>
        </r>
      </text>
    </comment>
  </commentList>
</comments>
</file>

<file path=xl/sharedStrings.xml><?xml version="1.0" encoding="utf-8"?>
<sst xmlns="http://schemas.openxmlformats.org/spreadsheetml/2006/main" count="1829" uniqueCount="717">
  <si>
    <t>PROJE ADI</t>
  </si>
  <si>
    <t>BİTİŞ TARİHİ</t>
  </si>
  <si>
    <t>PROJE ÇALIŞANLARI</t>
  </si>
  <si>
    <t>PROJE BEDELİ</t>
  </si>
  <si>
    <t>BAŞLANGIÇ  TARİHİ</t>
  </si>
  <si>
    <t>KDV</t>
  </si>
  <si>
    <t>MUAF</t>
  </si>
  <si>
    <t>UNVAN</t>
  </si>
  <si>
    <t>DOÇ. DR.</t>
  </si>
  <si>
    <t>DR.</t>
  </si>
  <si>
    <t>PROF. DR.</t>
  </si>
  <si>
    <t>ARŞ. GÖR.</t>
  </si>
  <si>
    <t>YRD. DOÇ. DR.</t>
  </si>
  <si>
    <t>AHMET KOYUN</t>
  </si>
  <si>
    <t>MUZAFFER METİN</t>
  </si>
  <si>
    <t>BÜLENT BAYRAM</t>
  </si>
  <si>
    <t>MUHARREM ERDEM BOĞOÇLU</t>
  </si>
  <si>
    <t>BANU DİRİ</t>
  </si>
  <si>
    <t>EYÜP DEBİK</t>
  </si>
  <si>
    <t xml:space="preserve">MEHMET ÇAKMAKÇI  </t>
  </si>
  <si>
    <t>MUSTAFA KEMAL SEVİNDİR</t>
  </si>
  <si>
    <t>ÖZDEN AĞRA</t>
  </si>
  <si>
    <t>CİHAN DEMİR</t>
  </si>
  <si>
    <t>ALİ GÖKHAN YAVUZ</t>
  </si>
  <si>
    <t>ZİYA CİHAN TAYŞİ</t>
  </si>
  <si>
    <t>AHMET KARAASLAN</t>
  </si>
  <si>
    <t>ARŞ. GÖR. DR.</t>
  </si>
  <si>
    <t>MİNE ELİF KARSLIGİL</t>
  </si>
  <si>
    <t>MEHMET AMAÇ GÜVENSAN</t>
  </si>
  <si>
    <t>BESTAMİN ÖZKAYA</t>
  </si>
  <si>
    <t>ÖĞR. GÖR. DR.</t>
  </si>
  <si>
    <t>ŞAKİR BAL</t>
  </si>
  <si>
    <t>ŞEVKET ÖZGÜR ATAYILMAZ</t>
  </si>
  <si>
    <t>NURTEN VARDAR</t>
  </si>
  <si>
    <t>MEHMET FATİH AMASYALI</t>
  </si>
  <si>
    <t>ALEV TAŞKIN GÜMÜŞ</t>
  </si>
  <si>
    <t>HASAN HÜSEYİN ERDEM</t>
  </si>
  <si>
    <t>ŞABAN PUSAT</t>
  </si>
  <si>
    <t>PROJE KODU</t>
  </si>
  <si>
    <t>İBRAHİM ŞENOL</t>
  </si>
  <si>
    <t>ALİ FUAT GÜNERİ</t>
  </si>
  <si>
    <t>ALİ HAKAN BÜYÜKLÜ</t>
  </si>
  <si>
    <t>ÖMER BİLEN</t>
  </si>
  <si>
    <t>HASAN HÜSEYİN BALIK</t>
  </si>
  <si>
    <t>ÖMER APAYDIN</t>
  </si>
  <si>
    <t>MEHMET SELÇUK ARSLAN</t>
  </si>
  <si>
    <t>METİN ZONTUL</t>
  </si>
  <si>
    <t>ARSLAN SARAL</t>
  </si>
  <si>
    <t>SEZGİN BAKIRDERE</t>
  </si>
  <si>
    <t>HÜSEYİN YILMAZ</t>
  </si>
  <si>
    <t xml:space="preserve">BEKİR ŞENER                            </t>
  </si>
  <si>
    <t>AHMET YURTSEVEN</t>
  </si>
  <si>
    <t>BURAK YILDIZ</t>
  </si>
  <si>
    <t>ALİ DOĞRUL</t>
  </si>
  <si>
    <t>FERDİ ÇAKICI</t>
  </si>
  <si>
    <t>MEHMET GÜR</t>
  </si>
  <si>
    <t>GÖKSEL BİRİCİK</t>
  </si>
  <si>
    <t>MEHMET GÜRAY GÜLER</t>
  </si>
  <si>
    <t>ÖZGÜR TURAY KAYMAKÇI</t>
  </si>
  <si>
    <t>BEDRİ KEKEZOĞLU</t>
  </si>
  <si>
    <t>OKTAY ARIKAN</t>
  </si>
  <si>
    <t>AHMET SERDAR TÜRK</t>
  </si>
  <si>
    <t>MUSTAFA TAŞKIN</t>
  </si>
  <si>
    <t>ÖZGÜR DEMİR</t>
  </si>
  <si>
    <t>BORUSAN PROJESİ</t>
  </si>
  <si>
    <t>UĞUR SAVAŞ SELAMOĞULLARI</t>
  </si>
  <si>
    <t>İLTEKNO PROJESİ</t>
  </si>
  <si>
    <t>ALİ PINARBAŞI</t>
  </si>
  <si>
    <t>FAHRETTİN ELDEMİR</t>
  </si>
  <si>
    <t>NERGİS ARSU</t>
  </si>
  <si>
    <t>GÜLAY ZORER GEDİK</t>
  </si>
  <si>
    <t>HALİT ÖZEN</t>
  </si>
  <si>
    <t>İHSAN KAYA</t>
  </si>
  <si>
    <t>LEVENT KUZU</t>
  </si>
  <si>
    <t>İSKİ PROJESİ</t>
  </si>
  <si>
    <t>ZEHRA YUMURTACI</t>
  </si>
  <si>
    <t>ALPEREN ACAR</t>
  </si>
  <si>
    <t>DELTA GRUP PROJESİ</t>
  </si>
  <si>
    <t xml:space="preserve">FERDİ SÖNMEZ </t>
  </si>
  <si>
    <t>ENGİN GÜLAL</t>
  </si>
  <si>
    <t xml:space="preserve">ÖĞR. GÖR. </t>
  </si>
  <si>
    <t>AYDIN YEŞİLDİREK</t>
  </si>
  <si>
    <t>MERT EDALI</t>
  </si>
  <si>
    <t>SELÇUK ÇEBİ</t>
  </si>
  <si>
    <t>UMUT RIFAT TUZKAYA</t>
  </si>
  <si>
    <t>NİHAT KABAY</t>
  </si>
  <si>
    <t>AHMET BEŞER KIZILKANAT</t>
  </si>
  <si>
    <t>İPTAL OLDU</t>
  </si>
  <si>
    <t>İLKER ÜSTOĞLU</t>
  </si>
  <si>
    <t>YTÜTTO185</t>
  </si>
  <si>
    <t>INNOVA KUYUMCULUK (3)</t>
  </si>
  <si>
    <t>YTÜTTO186</t>
  </si>
  <si>
    <t>SAĞLIK BAKANLIĞI (4)</t>
  </si>
  <si>
    <t>AFİFE BİNNAZ YORUÇ HAZAR</t>
  </si>
  <si>
    <t>UEDAŞ PROJESİ</t>
  </si>
  <si>
    <t>WARTSILA PROJESİ</t>
  </si>
  <si>
    <t>YTÜ</t>
  </si>
  <si>
    <t>İTÜ</t>
  </si>
  <si>
    <t>MARMARA ÜNİ.</t>
  </si>
  <si>
    <t>MİLLİ SAVUNMA ÜNİ.</t>
  </si>
  <si>
    <t>MAKİNE FAK.</t>
  </si>
  <si>
    <t>İNŞAAT FAK.</t>
  </si>
  <si>
    <t>MİMARLIK FAK.</t>
  </si>
  <si>
    <t>KİMYA METALURJİ FAK.</t>
  </si>
  <si>
    <t>ÜNİVERSİTE</t>
  </si>
  <si>
    <t>FAKÜLTE</t>
  </si>
  <si>
    <t>BÖLÜM</t>
  </si>
  <si>
    <t>FEN EDEBİYAT</t>
  </si>
  <si>
    <t>MAKİNE MÜH.</t>
  </si>
  <si>
    <t>ÇEVRE MÜH.</t>
  </si>
  <si>
    <t>ELEKTRİK ELEKTRONİK</t>
  </si>
  <si>
    <t>BİLGİSAYAR MÜH.</t>
  </si>
  <si>
    <t>AREL ÜNİ.</t>
  </si>
  <si>
    <t>ENDÜSTRİ MÜH.</t>
  </si>
  <si>
    <t>ELEKTRİK MÜH.</t>
  </si>
  <si>
    <t>HARİTA MÜH.</t>
  </si>
  <si>
    <t>İNŞAAT MÜH.</t>
  </si>
  <si>
    <t>ELEKTRONİK VE HABERLEŞME MÜH.</t>
  </si>
  <si>
    <t>METALURJİ VE MALZEME MÜH.</t>
  </si>
  <si>
    <t>ELEKTRONİK MÜH.</t>
  </si>
  <si>
    <t>MEKATRONİK MÜH.</t>
  </si>
  <si>
    <t>İSTATİSTİK</t>
  </si>
  <si>
    <t>GEMİ İNŞAATI VE DENİZCİLİK FAK.</t>
  </si>
  <si>
    <t>GEMİ İNŞAATI VE GEMİ MAKİNELERİ BÖL.</t>
  </si>
  <si>
    <t>MÜHENDİSLİK FAK.</t>
  </si>
  <si>
    <t>GEBZE TEK. ÜNİ.</t>
  </si>
  <si>
    <t>KONTROL VE OTOMASYON MÜH.</t>
  </si>
  <si>
    <t>KİMYA BÖLÜMÜ</t>
  </si>
  <si>
    <t>GIDA MÜH.</t>
  </si>
  <si>
    <t>MİMARLIK BÖL.</t>
  </si>
  <si>
    <t>EĞİTİM FAK.</t>
  </si>
  <si>
    <t>SANAT VE TASARIM FAK.</t>
  </si>
  <si>
    <t>İLETİŞİM TASARIMI BÖL.</t>
  </si>
  <si>
    <t>T.C. SAĞLIK BAKANLIĞI AŞI VE ANTİ SERUM SOĞUK ZİNCİR VE STOK YÖNETİM SİSTEMİ-IV</t>
  </si>
  <si>
    <t>İSTANBUL AYDIN ÜNİ.</t>
  </si>
  <si>
    <t>YAZILIM MÜH.</t>
  </si>
  <si>
    <t>Elektroform sisteminde yenilikçi ürün geliştirilmesi</t>
  </si>
  <si>
    <t>BİYOMÜHENDİSLİK BÖL.</t>
  </si>
  <si>
    <t>İŞLETME BÖL.</t>
  </si>
  <si>
    <t>YTÜTTO187</t>
  </si>
  <si>
    <t>İETT PROJESİ</t>
  </si>
  <si>
    <t>İBRAHİM KOCABAŞ</t>
  </si>
  <si>
    <t>BANU YÜCEL TOY</t>
  </si>
  <si>
    <t>MİTHAT KORUMAZ</t>
  </si>
  <si>
    <t>SERTEL ALTUN</t>
  </si>
  <si>
    <t>YUNUS EMRE ÖMÜR</t>
  </si>
  <si>
    <t xml:space="preserve">EĞİTİM BİLİMLERİ </t>
  </si>
  <si>
    <t>İETT PROGRAMLARININ DEĞERLENDİRİLMESİ</t>
  </si>
  <si>
    <t>YTÜTTO188</t>
  </si>
  <si>
    <t>DALLUNAPARK MAK. PROJESİ</t>
  </si>
  <si>
    <t>45 M. Yüksekliğinde Lunapark Dönme Dolabının Yapısal Analizlerinin Gerçekleştirilmesi</t>
  </si>
  <si>
    <t>YTÜTTO189</t>
  </si>
  <si>
    <t>ADALI MAKİNA PROJESİ</t>
  </si>
  <si>
    <t>Kangal Termik Santralinde Kullanılan Kömürün akışkan Yatakta kurutulmasının deneysel olarak incelenmesi</t>
  </si>
  <si>
    <t>YTÜTTO190</t>
  </si>
  <si>
    <t>ORHAN CANPOLAT</t>
  </si>
  <si>
    <t>Betonarme ve Yığma Yapıların Yapım Yılının Araştırılması</t>
  </si>
  <si>
    <t>YTÜTTO191</t>
  </si>
  <si>
    <t>VİVENSE PROJESİ</t>
  </si>
  <si>
    <t>Sipariş Rotalama ve Nakliye Organizasyonu</t>
  </si>
  <si>
    <t>FERRO PROJESİ</t>
  </si>
  <si>
    <t>YTÜTTO192</t>
  </si>
  <si>
    <t>İSBAK PROJESİ</t>
  </si>
  <si>
    <t>İstanbul Geneli Toplu Taşıma Stratejilerinin Geliştirlmesi İşi</t>
  </si>
  <si>
    <t>YTÜTTO193</t>
  </si>
  <si>
    <t>NEZİR AYDIN</t>
  </si>
  <si>
    <t>MUHAMMET GÜL</t>
  </si>
  <si>
    <t>ERKAN ÇELİK</t>
  </si>
  <si>
    <t>MUNZUR</t>
  </si>
  <si>
    <t>Afet Olaylarında Yaralıların Acil Servislere Ulaştırılmasına Yönelik Rota Optimizasyonu Ve Acil Servis Kapasitelerinin Simülasyon Tabanlı Modellenmesi: Beklenen İstanbul Depremi Uygulaması</t>
  </si>
  <si>
    <t>MURAT GÜNAL</t>
  </si>
  <si>
    <t>YTÜTTO194</t>
  </si>
  <si>
    <t>TEB PROJESİ</t>
  </si>
  <si>
    <t>TÜBİTAK-TEYDEB 3160605 Numaralı "Connecteb - Bankacılık Süreçleri İle Uyumlu Yerli Telekom (Voıp) &amp; Multimedia Çözümünün Geliştirilmesi" Projesi.</t>
  </si>
  <si>
    <t>YTÜTTO195</t>
  </si>
  <si>
    <t>ELEKTRONET PROJESİ</t>
  </si>
  <si>
    <t>UFUK BÖLÜKBAŞ</t>
  </si>
  <si>
    <t>MESLEK YÜKSEK OKULU</t>
  </si>
  <si>
    <t>FİNANS-BANKACILIK VE SİGORTACILIK</t>
  </si>
  <si>
    <t>Üretim Hattı Yerleşim düzeni Planlaması ve İş İstasyonu Verimlilik Analizi</t>
  </si>
  <si>
    <t>YTÜTTO196</t>
  </si>
  <si>
    <t>YTÜTTO197</t>
  </si>
  <si>
    <t>BİMTAŞ PROJESİ (3)</t>
  </si>
  <si>
    <t>BİMTAŞ PROJESİ (2)</t>
  </si>
  <si>
    <t>MEHMET MUHİT BERİLGEN</t>
  </si>
  <si>
    <t>HAVVANUR KILIÇ</t>
  </si>
  <si>
    <t>ZEYNEP IŞIK</t>
  </si>
  <si>
    <t>ALİ COŞANDAL</t>
  </si>
  <si>
    <t>İstanbul Geneli Altyapı Standartlarının Oluşturulması İşi kapsamında Danışmanlık Hizmeti Alımı</t>
  </si>
  <si>
    <t>YTÜTTO198</t>
  </si>
  <si>
    <t>LEO MÜH. PROJESİ</t>
  </si>
  <si>
    <t>Sivil ve Taktik/Navigasyon Askeri Uygulamalar için MEMS Tabanlı GPS Destekli Ataletsel Navigasyon Sisteminin Geliştirilmesi</t>
  </si>
  <si>
    <t>YTÜTTO199</t>
  </si>
  <si>
    <t>BKM PROJESİ</t>
  </si>
  <si>
    <t>BKM – AKILLI KART SAHTEKARLIK TESPİT SİSTEMİ</t>
  </si>
  <si>
    <t>YTÜTTO200</t>
  </si>
  <si>
    <t>LEO MÜH. PROJESİ (2)</t>
  </si>
  <si>
    <t>ADAS İleri Sürüş Destek Sistemleri Uygulama Prototipi Geliştirilmesi</t>
  </si>
  <si>
    <t>YTÜTTO201</t>
  </si>
  <si>
    <r>
      <t>FORD OTOMOTİV PROJESİ 2)</t>
    </r>
    <r>
      <rPr>
        <sz val="11"/>
        <color rgb="FFFF0000"/>
        <rFont val="Calibri"/>
        <family val="2"/>
        <charset val="162"/>
        <scheme val="minor"/>
      </rPr>
      <t xml:space="preserve"> </t>
    </r>
  </si>
  <si>
    <t>Ağır Ticari Araçlar için Ağır Hizmet Tipi Şanzıman Ailesi Tasarıım ve Geliştirilmesi –  50148313-2017/117</t>
  </si>
  <si>
    <t>YTÜTTO202</t>
  </si>
  <si>
    <t xml:space="preserve">NSMH PROJESİ </t>
  </si>
  <si>
    <t>ARNAVUTKÖY BELEDİYESİ ARNAVUTKÖY SANAT ve  ARAŞTIRMA MERKEZİ GÜNEŞ DENETİMİ ANALİZLERİ VE ÇÖZÜM ÖNERİLERİ</t>
  </si>
  <si>
    <t>YTÜTTO203</t>
  </si>
  <si>
    <t>DOĞUŞ BİLGİ İŞLEM PROJESİ</t>
  </si>
  <si>
    <t>D-SUIT Çalışan Odaklı Kurumsal Süreç Otomasyon Platformu</t>
  </si>
  <si>
    <t>YTÜTTO204</t>
  </si>
  <si>
    <t>BIS ÇÖZÜM BİLG. PROJESİ</t>
  </si>
  <si>
    <t>3160344 Finansal Kredi Risk Analizi: Lokal Faktörlerin Etki Ölçüm Modellemesi</t>
  </si>
  <si>
    <t>YTÜTTO205</t>
  </si>
  <si>
    <t>IBASE YAZILIM PROJESİ</t>
  </si>
  <si>
    <t>MRO-Optimizer:Uçak Bakımı Optimum Çizelgeleme Sistemi</t>
  </si>
  <si>
    <t>YTÜTTO206</t>
  </si>
  <si>
    <t>DOĞAN  KARADAĞ</t>
  </si>
  <si>
    <t>Yeraltı Su Kaynaklarının su Kalitesinin değerlendirilmesi ve Uygun Arıtma Ünitelerinin Belirlenmesi</t>
  </si>
  <si>
    <t>YTÜTTO207</t>
  </si>
  <si>
    <t>IDEMA PROJESİ</t>
  </si>
  <si>
    <t>SERHAT BAHADIR KERT</t>
  </si>
  <si>
    <t>BÖTE</t>
  </si>
  <si>
    <t xml:space="preserve">5 VE 6. Sınıflar Bilişim Teknolojileri ve Yazılım Dersi Öğretmen Rehberi Modülü Geliştirilmesi </t>
  </si>
  <si>
    <t>YTÜTTO208</t>
  </si>
  <si>
    <t>INNOVA KUYUMCULUK (4)</t>
  </si>
  <si>
    <t>Ramat olarak ayrılan malzemelerin yapısında bulunan altının yüksek verimde ve düşük maliyette geri kazanılması</t>
  </si>
  <si>
    <t>YTÜTTO209</t>
  </si>
  <si>
    <t>YTÜTTO210</t>
  </si>
  <si>
    <t>ID3 YAZILIM PROJESİ</t>
  </si>
  <si>
    <t>DİDEM GÖZÜPEK KOCAMAN</t>
  </si>
  <si>
    <t>Tübitak Teydeb 1507 Kobi Ar-Ge Başlangıç Destek Programı</t>
  </si>
  <si>
    <t>TUZLA OGSB PROJESİ</t>
  </si>
  <si>
    <t>ONUR AKBATI</t>
  </si>
  <si>
    <t>Atık Su Denetim Ve Otomasyon Sistemi’nin Geliştirilmesi</t>
  </si>
  <si>
    <t>YTÜTTO211</t>
  </si>
  <si>
    <t>YTÜTTO212</t>
  </si>
  <si>
    <t>YTÜTTO213</t>
  </si>
  <si>
    <t>İSTAÇ KOMPOST PROJESİ</t>
  </si>
  <si>
    <t>İSTAÇ TIBBİ ATIK PROJESİ</t>
  </si>
  <si>
    <t>HAKAN KARATAŞ</t>
  </si>
  <si>
    <t>SOSYAL BİLİMLER ENS.</t>
  </si>
  <si>
    <t>İSTAÇ KOMPOST TESİSİ BİYOFİLTRE REHABİLİTASYONU VE ARITMA VERİMİNİN ARTTIRILMASI PROJESİ</t>
  </si>
  <si>
    <t>İSTAÇ TIBBİ ATIK YAKMA TESİSİ AZOT OKSİT (NOX) EMİSYONLARI AZALTIM PROJESİ</t>
  </si>
  <si>
    <t>Gebze Ticaret Odası Üye Şirketlerinin İnsan Kaynağı Yeterlik Analizinin Yapılması ve Eğitim Tasarım Modeli Geliştirilmesi</t>
  </si>
  <si>
    <t>GEBZE TİC. ODASI PROJESİ</t>
  </si>
  <si>
    <t>YTÜTTO214</t>
  </si>
  <si>
    <t>ORTADOĞU GRUP PROJESİ</t>
  </si>
  <si>
    <t>Turizm Sektörü İçin Kurumsal Akademi Tasarımı ve Uygulama Modelinin Geliştirilmesi</t>
  </si>
  <si>
    <t>YTÜTTO215</t>
  </si>
  <si>
    <t>INTRA NET PROJESİ</t>
  </si>
  <si>
    <t xml:space="preserve">TEYDEP 7160897 Nolu Mesleki Risklerin Önlenmesine Yönelik WEB Tabanlı Karar Destek Sistemi Tasarımı ve Geliştirilmesi </t>
  </si>
  <si>
    <t>YTÜTTO216</t>
  </si>
  <si>
    <t>STRAMAX İLETİŞİM PROJESİ</t>
  </si>
  <si>
    <t>Tübitak Teydeb 7170103 Kanban Ve CFP (Cosmıc Functıon Poınt) Destekli Yazılım Ölçümleme Ve Tahminleme</t>
  </si>
  <si>
    <t>YTÜTTO217</t>
  </si>
  <si>
    <t>ISSE PROJESİ</t>
  </si>
  <si>
    <t xml:space="preserve">Otomotiv Sektöründe Enerji Verimliliği Yüksek Lazer Nokta Kaynağı Prosesinin 
Gelistirilmesi ve Üç Boyutlu Sayısal Modelin Oluşturulması 
</t>
  </si>
  <si>
    <t>YTÜTTO218</t>
  </si>
  <si>
    <t>HAKAN ÇELİKTEN</t>
  </si>
  <si>
    <t>MURAT AKSEL</t>
  </si>
  <si>
    <t>GENMEL PROJESİ</t>
  </si>
  <si>
    <t>YILDIRIM AHMET BAYAZIT</t>
  </si>
  <si>
    <t>ABDURRAHMAN KAMURAN KADIPAŞAOĞLU</t>
  </si>
  <si>
    <t>ALİ BAHADIR</t>
  </si>
  <si>
    <t>TIP FAK.</t>
  </si>
  <si>
    <t>KULAK BURUN BOĞAZ</t>
  </si>
  <si>
    <t>MEDİPOL ÜNİ.</t>
  </si>
  <si>
    <t>7160822 DIŞ ÜNİTESİ OLMAYAN KOKLEAR İMPLANT TASARIMI İÇİN SENSÖR GELİŞTİRİLMESİ</t>
  </si>
  <si>
    <t>YTÜTTO219</t>
  </si>
  <si>
    <t>SAĞLIK BAKANLIĞI (5)</t>
  </si>
  <si>
    <t>T.C. SAĞLIK BAKANLIĞI AŞI VE ANTİ SERUM SOĞUK ZİNCİR VE STOK YÖNETİM SİSTEMİ-V</t>
  </si>
  <si>
    <t>YTÜTTO220</t>
  </si>
  <si>
    <t>YUNUS EMRE SELÇUK</t>
  </si>
  <si>
    <t>“Destek Patent Kurumsal Bilgi Sistemi Yazılım Projesi’nin Süreç Değerlendirme” Projesi</t>
  </si>
  <si>
    <t>MSÜ</t>
  </si>
  <si>
    <t>HAVA HARP OKULU</t>
  </si>
  <si>
    <t>YTÜTTO221</t>
  </si>
  <si>
    <t xml:space="preserve">“YTÜ Teknopark TTO’nun Sanayi-Üniversite işbirliği kapsamındaki faaliyetleri için AR-GE projesi ön hazırlık ve proje tasarım danışmanlığı” işi, </t>
  </si>
  <si>
    <t>DESTEK PATENT PROJESİ (LOGARİTMA)</t>
  </si>
  <si>
    <t>YTÜTTO222</t>
  </si>
  <si>
    <t>DOĞANAY GIDA PROJESİ</t>
  </si>
  <si>
    <t xml:space="preserve">ARŞ. GÖR. DR. </t>
  </si>
  <si>
    <t>HAKAN DEMİR</t>
  </si>
  <si>
    <t>Doğanay Gıda Tarım ve Hayvancılık San. ve Tic. A.Ş. firmasında kurulu bulunan Rotary ve Lineer şişe üretim-dolum hatlarının incelenerek kapasite optimizasyonu Projesi</t>
  </si>
  <si>
    <t>YTÜTTO223</t>
  </si>
  <si>
    <t>TEK TOMURCUK EĞİTİM PROJESİ</t>
  </si>
  <si>
    <t>HASAN BASRİ GÜNDÜZ</t>
  </si>
  <si>
    <t>AYDIN BALYER</t>
  </si>
  <si>
    <t>ERKAN TABANCALI</t>
  </si>
  <si>
    <t>Eğitim Yöneticilerinin Temel Yönetim Yeterliklerinin Geliştirilmesi ve Desteklenmesi Programı</t>
  </si>
  <si>
    <t>YTÜTTO224</t>
  </si>
  <si>
    <t>ENMOS END. PROJESİ</t>
  </si>
  <si>
    <t xml:space="preserve">Tekstil Endüstrisinde Boya Otomasyon Sistemlerinin Farklı Konfigürasyonlar Altında Hatasız Çalışmasını Sağlayacak Yazılım Geliştirilmesi </t>
  </si>
  <si>
    <t>YTÜTTO225</t>
  </si>
  <si>
    <t>Tübitak 7160473 Nolu Ontoloji Tabanlı B2B Otomotiv Yedek Parça yönetim ve Karar Destek Sistemi Projesi</t>
  </si>
  <si>
    <t>YTÜTTO226</t>
  </si>
  <si>
    <t>ALİ RIFAT BOYNUEĞRİ</t>
  </si>
  <si>
    <t xml:space="preserve">Çoklu Ağ ve Örgütsel Güvenli Ağ Teknolojileri kullanarak Akıllı Binalarda Enerji Verimliliği Yönetimi ve Tahminleme Projesi </t>
  </si>
  <si>
    <t>PARK YERİ İLETİŞİM PROJESİ(1)</t>
  </si>
  <si>
    <t>YTÜTTO227</t>
  </si>
  <si>
    <t>PARK YERİ İLETİŞİM PROJESİ(2)</t>
  </si>
  <si>
    <t>MEHMET SERDAR UFUK TÜRELİ</t>
  </si>
  <si>
    <t xml:space="preserve">Çoklu Ağ ve Örgütsel Güvenli Ağ Teknolojileri kullanarak Akıllı Binalarda Enerji Verimliliği Yönetimi ve Tahminleme Projesi 
</t>
  </si>
  <si>
    <t>ABDULLAH UMUR GÖKSU</t>
  </si>
  <si>
    <t>YTÜTTO228</t>
  </si>
  <si>
    <t>TÜMOSAN PROJESİ</t>
  </si>
  <si>
    <t>Milli Entegre Taktik Tekerlekli Araç Projesi</t>
  </si>
  <si>
    <t>3170540 – Hizmet olarak sağlanacak çağrı merkezi altyapısının bulut sistemleri üzerinde geliştirilmesi (Viases Cloud Contact Center)</t>
  </si>
  <si>
    <t>SYS PROJESİ</t>
  </si>
  <si>
    <t>YTÜTTO229</t>
  </si>
  <si>
    <t>SİSRAY PROJESİ</t>
  </si>
  <si>
    <t>YTÜTTO230</t>
  </si>
  <si>
    <t>IDESOFT PROJESİ</t>
  </si>
  <si>
    <t>Kabataş Mecidiyeköy Mahmutbey Metro Hattı Bünyesinde Bulunan Kritik Sistemler İle İlgili Emniyet Fonksiyonlarının Belirlenmesi İle İlgili Danışmanlık Hizmeti</t>
  </si>
  <si>
    <t>YTÜTTO231</t>
  </si>
  <si>
    <t>DEM İLAÇ PROJESİ</t>
  </si>
  <si>
    <t>ÖZLEM AKSU DÖNMEZ</t>
  </si>
  <si>
    <t>3170263 Kronik Tromboembolik Pulmoner Hipertansiyon (Kteph) Hastalığında Endike Yetim İlaç Geliştirme Çalışmaları, Formülasyonu Ve Pilot Ölçek Üretimi-Dem İlaç</t>
  </si>
  <si>
    <t>YTÜTTO232</t>
  </si>
  <si>
    <t>GÜMRÜK BAKANLIĞI PROJESİ</t>
  </si>
  <si>
    <t>Gümrük Ve Ticaret Merkezi Fizibilite Raporu Hazırlanması</t>
  </si>
  <si>
    <t>YTÜTTO233</t>
  </si>
  <si>
    <t>STM A.Ş. PROJESİ</t>
  </si>
  <si>
    <t>Akıllı Telemetri Analitiği (InTelA - Intelligent Telemetry Analytics )</t>
  </si>
  <si>
    <t>YTÜTTO234</t>
  </si>
  <si>
    <t>MES ELEKTROMEKANİK PROJESİ</t>
  </si>
  <si>
    <t xml:space="preserve">ÖĞR. GÖR. DR. </t>
  </si>
  <si>
    <t>YASEMİN ÖNER</t>
  </si>
  <si>
    <t>MUSTAFA GÜRKAN AYDENİZ</t>
  </si>
  <si>
    <t>Elektrikli Araçlar için Elektrik Motoru Tasarım ve Prototip Yapımı</t>
  </si>
  <si>
    <t>YTÜTTO235</t>
  </si>
  <si>
    <t>SAFA İTH. PROJESİ</t>
  </si>
  <si>
    <t>Yerli Tarımsal Atıklardan ve Diğer Kaynaklardan Jüt İpliğine Eşdeğer Özellikte Lif Üretimi</t>
  </si>
  <si>
    <t>YTÜTTO236</t>
  </si>
  <si>
    <t>KALE OTO RADYATÖR PROJESİ</t>
  </si>
  <si>
    <t>ALİ EKBER AKGÜN</t>
  </si>
  <si>
    <t>İKTİSADİ VE İDARİ BİLİMLER FAKÜLTESİ</t>
  </si>
  <si>
    <t>Kale Oto Radyatör İnovasyon Sistemi Kurulumu</t>
  </si>
  <si>
    <t>MAVİ NOKTA PROJESİ</t>
  </si>
  <si>
    <t>DOĞAN YILDIZ</t>
  </si>
  <si>
    <t>NURAN ÇAKIR YILDIZ</t>
  </si>
  <si>
    <t>PAZARLAMA</t>
  </si>
  <si>
    <t>İ.Ü.</t>
  </si>
  <si>
    <t>T.C. ORMAN VE SU İŞLERİ BAKANLIĞI  SU YÖNETİMİ GENEL MÜDÜRLÜĞÜ :    2017 KUZEY EGE NEHİR  HAVZASI YÖNETİM  PLANININ  HAZIRLANMASI PROJESİ EKONOMİK ANALİZİ</t>
  </si>
  <si>
    <t>YTÜTTO237</t>
  </si>
  <si>
    <t>YTÜTTO238</t>
  </si>
  <si>
    <t>THY PROJESİ</t>
  </si>
  <si>
    <t>BERNA BOLAT</t>
  </si>
  <si>
    <t>ELİF KARAKAYA</t>
  </si>
  <si>
    <t>MEDENİYET ÜNİ.</t>
  </si>
  <si>
    <t>Türk Hava Yolları Yeni Kargo Terminali Kapasite Analizi Projesi</t>
  </si>
  <si>
    <t>YTÜTTO239</t>
  </si>
  <si>
    <t xml:space="preserve"> EUROVALF MAK. PROJESİ</t>
  </si>
  <si>
    <t>ORHAN ÇAKIR</t>
  </si>
  <si>
    <t>Tübitak Teydeb 7161304 Karbür Alaşımlı ve/veya Toz Metalurjisi ile Üretilmiş Kesme Aparatlarının
CNC Tel Erezyonda Hassas Kesim Optimizasyonu ve Üretimi</t>
  </si>
  <si>
    <t>YTÜTTO240</t>
  </si>
  <si>
    <t>ŞÖLEN ÇİKOLATA PROJESİ</t>
  </si>
  <si>
    <t>MUHAMMED ARICI</t>
  </si>
  <si>
    <t>TÜBİTAK 1501 Sanayi Ar-Ge Projeleri Destekleme Programı, 3180282 nolu “Ekşi Hamurlu, Meyveli ve Kakaolu Kek Geliştirilmesi”</t>
  </si>
  <si>
    <t>YTÜTTO241</t>
  </si>
  <si>
    <t>ERTAN ACAR İLETİŞİM PROJESİ</t>
  </si>
  <si>
    <t>Türkiye’de İtibarlı Şirketlerin Ülke Geneli ve İl Bazında Farklılaşmasının Analizi</t>
  </si>
  <si>
    <t>YTÜTTO242</t>
  </si>
  <si>
    <t>İSTANBUL TEKNOPARK PROJESİ</t>
  </si>
  <si>
    <t>Teknopark İstanbul A.Ş. bünyesinde kurulu bulunan UPVC içme suyu hatları ve HDPE yangın hatlarındaki problemlerin belirlenerek, ısıl genleşme kaynaklı sorunların çözümüne yönelik deneysel ve sayısal çalışmalar ile optimizasyon yapılması</t>
  </si>
  <si>
    <t>IPEC ENERJİ  PROJESİ</t>
  </si>
  <si>
    <t>AYDIN MÜHÜRCÜ</t>
  </si>
  <si>
    <t>TEKNOLOJİ FAK.</t>
  </si>
  <si>
    <t>KLU</t>
  </si>
  <si>
    <t>TÜBİTAK TEYDEB 7170468 - ALKALİ SU ELEKTROLİZİ İLE HİDROJEN ÜRETİMİ</t>
  </si>
  <si>
    <t>YTÜTTO243</t>
  </si>
  <si>
    <t>YTÜTTO244</t>
  </si>
  <si>
    <t>MİR ENDÜSTRİYEL PROJESİ</t>
  </si>
  <si>
    <t>CEMALETTİN YAMAN</t>
  </si>
  <si>
    <t xml:space="preserve">Tübitak Teydeb 7160543 nolu Endüstriyel Tip Seramik Radyan Taşı İyileştirme ve Geliştirme </t>
  </si>
  <si>
    <t>YTÜTTO245</t>
  </si>
  <si>
    <t>SWORD IT PROJESİ</t>
  </si>
  <si>
    <t>BURCU YURTSEVER</t>
  </si>
  <si>
    <t>Case Management</t>
  </si>
  <si>
    <t>YTÜTTO246</t>
  </si>
  <si>
    <t>Biyopolimer Esaslı Hemostat Üretimi</t>
  </si>
  <si>
    <t>YTÜTTO247</t>
  </si>
  <si>
    <t>TÜBİTAK BİLGEM PROJESİ</t>
  </si>
  <si>
    <t>TÜLAY YILDIRIM</t>
  </si>
  <si>
    <t>AHMET SERBES</t>
  </si>
  <si>
    <t>BÜLENT  BOLAT</t>
  </si>
  <si>
    <t>YASİN YILDIRIM</t>
  </si>
  <si>
    <t>HÜSEYİN ÇUKUR</t>
  </si>
  <si>
    <t>ÖZDEN NİYAZ</t>
  </si>
  <si>
    <t xml:space="preserve">Çok Boyutlu Telsiz Haberleşme İşaret Analiz Platformu (KAŞİF)
</t>
  </si>
  <si>
    <t>YTÜTTO248</t>
  </si>
  <si>
    <t>BETATECH PROJESİ (2)</t>
  </si>
  <si>
    <t>BETATECH PROJESİ (3)</t>
  </si>
  <si>
    <t>Kemik Restorasyon Malzemesi Üretimi</t>
  </si>
  <si>
    <t>YTÜTTO249</t>
  </si>
  <si>
    <t xml:space="preserve">AYSON GEOTEKNİK PROJESİ </t>
  </si>
  <si>
    <t>Salı Pazarı Kruvaziyer Liman Projesi, Rıhtım inşaat İşleri Projesi</t>
  </si>
  <si>
    <t>YTÜTTO250</t>
  </si>
  <si>
    <t>AVRUPA İMPLANT PROJESİ (3)</t>
  </si>
  <si>
    <t>Ticari Dental İmplantın Klinik Performansının Geliştirilmesi</t>
  </si>
  <si>
    <t>BÜŞRA  AKTÜRK</t>
  </si>
  <si>
    <t>YTÜTTO251</t>
  </si>
  <si>
    <t>GAMAK MAK.PROJESİ (3)</t>
  </si>
  <si>
    <t>Tübitak Orta Gerilim (6kV) 3mw 630 Tip Asenkron Elektrik Motorunun Tasarımı ve Prototip Üretimi</t>
  </si>
  <si>
    <t>YTÜTTO252</t>
  </si>
  <si>
    <t xml:space="preserve">HAVADİS PROJESİ </t>
  </si>
  <si>
    <t>Havadis Projesi</t>
  </si>
  <si>
    <t>ABDULKADİR ŞEKER</t>
  </si>
  <si>
    <t>CUMHURİYET ÜNİ.</t>
  </si>
  <si>
    <t>YTÜTTO253</t>
  </si>
  <si>
    <t>Kojenerasyon ve Trijenerasyon Sistemlerinde Kullanılan TCG3016 V8- TCG3016 V12- TCG3016 V16-TCG3020 V20, dört farklı model Gaz Motorunun Farklı Yakıt Özelliklerine ve Kullanılan Sistemlere Göre Verimlilik Değerlerinin Belirlenerek Değişken Fizibilite Modelinin Oluşturulması.</t>
  </si>
  <si>
    <t>YTÜTTO254</t>
  </si>
  <si>
    <t>İSTAÇ KÖMÜRCÜODA PROJESİ</t>
  </si>
  <si>
    <t>BARIŞ ÇALLI</t>
  </si>
  <si>
    <t>KÖMÜRCÜODA DÜZENLİ KATI ATIK DEPOLAMA SAHASI SIZINTI SUYU ARITMA TESİSİ BİYOLOJİK ARITMA ÜNİTESİ’NİN ARITMA PERFORMANSININ İYİLEŞTİRİLMESİ</t>
  </si>
  <si>
    <t>YTÜTTO255</t>
  </si>
  <si>
    <t>KAT MEKATRONİK PROJESİ</t>
  </si>
  <si>
    <t>ALİİHSAN KOCA</t>
  </si>
  <si>
    <t>BİYOMEDİKAL MÜHENDİSLİĞİ BÖL.</t>
  </si>
  <si>
    <t>FSM VAKIF ÜNİ.</t>
  </si>
  <si>
    <t xml:space="preserve"> PTC (Positive Temperature Coefficient) ısıtıcı radyatör geliştirilmesi</t>
  </si>
  <si>
    <t>YTÜTTO256</t>
  </si>
  <si>
    <t>CADEM PROJESİ</t>
  </si>
  <si>
    <t>SERKAN ALTUNTAŞ</t>
  </si>
  <si>
    <t>Kurumsal İnovasyon Sisteminin Oluşturulması Ve Kurulması</t>
  </si>
  <si>
    <t>MEHMET ŞAMİL GÜNEŞ</t>
  </si>
  <si>
    <t>HÜLYA CENGİZ</t>
  </si>
  <si>
    <t>YTTO PROJESİ</t>
  </si>
  <si>
    <t>YTÜTTO257</t>
  </si>
  <si>
    <t>PREVEZE PROJESİ</t>
  </si>
  <si>
    <t>Veri Yoğun Ağ Tasarımı ve Sanallaştırma</t>
  </si>
  <si>
    <t>YTÜTTO258</t>
  </si>
  <si>
    <t>YERALTI SU KAYNAKLARININ SU KALİTESİNİN DEĞERLENDİRİLMESİ VE UYGUN ARITMA ÜNİTELERİNİN BELİRLENMESİ</t>
  </si>
  <si>
    <t>YTÜTTO259</t>
  </si>
  <si>
    <t>SPİNAMER PROJESİ</t>
  </si>
  <si>
    <t>CEM BÜLENT ÜSTÜNDAĞ</t>
  </si>
  <si>
    <t>7161060 NOLU 3B Yazıcıyla Kişiye Özgü Kemik Dokuların Üretimi ve Geliştirilmesi  Projesi</t>
  </si>
  <si>
    <t>ONUR CAN KOYUN</t>
  </si>
  <si>
    <t>METRO İSTANBUL PROJESİ</t>
  </si>
  <si>
    <t>DR. ÖĞR. ÜYESİ</t>
  </si>
  <si>
    <t>Milli CBTC Sinyalizasyon Sistemi Geliştirme Projesi</t>
  </si>
  <si>
    <t>YTÜTTO260</t>
  </si>
  <si>
    <t>YTÜTTO261</t>
  </si>
  <si>
    <t>İNTENGO PROJESİ</t>
  </si>
  <si>
    <t>Üniversiteler için Elektronik İhale Süreçlerinin Planlanması ve Yönetimi</t>
  </si>
  <si>
    <t>YTÜTTO262</t>
  </si>
  <si>
    <t>İSTAÇ ATIK DENİZ YOSUNU PROJESİ</t>
  </si>
  <si>
    <t>AHMET DEMİR</t>
  </si>
  <si>
    <t>Atık Deniz Yosunlarının Geri Kazanım Uygulamalarının Araştırılması Ve Sürdürülebilir Atık Yönetim Modelinin Geliştirilmesi</t>
  </si>
  <si>
    <t>YTÜTTO263</t>
  </si>
  <si>
    <t>YAZILIMEVİ PROJESİ</t>
  </si>
  <si>
    <t>7170551 Nolu MİKRO E-İMZALA VE İLET UYGULAMASI PROJESİ</t>
  </si>
  <si>
    <t>YTÜTTO264</t>
  </si>
  <si>
    <t xml:space="preserve">ENKA İNŞAAT PROJESİ </t>
  </si>
  <si>
    <t>Namakhvani Hydro Power Plant Cascade Project</t>
  </si>
  <si>
    <t>YTÜTTO265</t>
  </si>
  <si>
    <t>DATAKOM PROJESİ</t>
  </si>
  <si>
    <t>YAVUZ ATEŞ</t>
  </si>
  <si>
    <t>3160576 Nolu Elektrik dağıtım şebekelerinde kullanılmak üzere çok fonksiyonlu dijital aşırı akım rölesi tasarımı ve geliştirilmesi Projesi</t>
  </si>
  <si>
    <t>“Setaş Kimya Sanayi’nin Boyarmadde Ve Kimyasal Üretiminden Kaynaklı Atıksuları İçin Ekonomik Entegre Arıtma Alternatiflerinin Araştırılması “ İle İlgili Akademik Danışmanlık Hizmeti</t>
  </si>
  <si>
    <t>YTÜTTO266</t>
  </si>
  <si>
    <t>SETAŞ KİMYA PROJESİ</t>
  </si>
  <si>
    <t>KÜBRA ALTUNTAŞ ULUCAN</t>
  </si>
  <si>
    <t>YTÜTTO267</t>
  </si>
  <si>
    <t>BETATECH PROJESİ (4)</t>
  </si>
  <si>
    <t>Biyopolimer Poröz Greft Üretimi</t>
  </si>
  <si>
    <t>YTÜTTO268</t>
  </si>
  <si>
    <t>UGETAM PROJESİ</t>
  </si>
  <si>
    <t>İSKİ Kurumsal Varlık Yönetimi Temelli Akıllı Şebeke Dönüşümü</t>
  </si>
  <si>
    <t>YTÜTTO269</t>
  </si>
  <si>
    <t>GE PROJESİ</t>
  </si>
  <si>
    <t>Trafo Soğutma Sistemlerinin Termal Performanslarının İyileştirilmesi Projesi</t>
  </si>
  <si>
    <t>YTÜTTO270</t>
  </si>
  <si>
    <t>YAMAN BASKI MAK. PROJESİ</t>
  </si>
  <si>
    <t>Flekso etiket baskı ve sargı hattı geliştirme</t>
  </si>
  <si>
    <t>YTÜTTO271</t>
  </si>
  <si>
    <t>ASKİ PROJESİ</t>
  </si>
  <si>
    <t>İvedik ve Pursaklar İçme Suyu Arıtma Tesisleri Danışmanlık ve Hizmet Alım İşi</t>
  </si>
  <si>
    <t xml:space="preserve">7170262 Nolu Otomotiv Sektörüne Yönelik KPI Odaklı, Analiz Motorunun ve Öneri Sisteminin Geliştirilmesi
														</t>
  </si>
  <si>
    <t>YTÜTTO272</t>
  </si>
  <si>
    <t>YTÜTTO273</t>
  </si>
  <si>
    <t xml:space="preserve">GÜRDESAN GEMİ PROJESİ </t>
  </si>
  <si>
    <t>SAVAŞ SEZEN</t>
  </si>
  <si>
    <t>AMDEB Gemisi Hidrodinamik Analizler ve Pervane Tasarımı</t>
  </si>
  <si>
    <t>YTÜTTO274</t>
  </si>
  <si>
    <t>MLP SAĞLIK PROJESİ</t>
  </si>
  <si>
    <t>Derin Öğrenme Yöntemleriyle Mamografi Görüntülerinden Meme Lezyonlarının Otomatik Segmentasyonu</t>
  </si>
  <si>
    <t>YTÜTTO275</t>
  </si>
  <si>
    <t>GÖKŞİN PROJESİ</t>
  </si>
  <si>
    <t>YAVUZ SALT</t>
  </si>
  <si>
    <t>CENK DENKDAŞ</t>
  </si>
  <si>
    <t>FİZİK</t>
  </si>
  <si>
    <t>Jeomembran ve Jeotekstil Malzemelerin Katı Atık Düzenli Depolama Sahalarında Kullanılabilirliğinin Belirlenmesi ve Mevcut Jeomembran Malzemelerine Alternatif Yeni Bir Jeomembran/Jeokompozit Formülasyonuna Yönelik Değerlendirme Çalışmaları</t>
  </si>
  <si>
    <t>YTÜTTO276</t>
  </si>
  <si>
    <t xml:space="preserve">Ark Tespit ve Sönümleme Sistemi Pilot Bölge Uygulama Projesi </t>
  </si>
  <si>
    <t>YTÜTTO277</t>
  </si>
  <si>
    <t>ARKEL ELEKTRONİK PROJESİ</t>
  </si>
  <si>
    <t>Mutlak, Emniyetli Asansör Şaft Kopyalama Sistemi</t>
  </si>
  <si>
    <t>1., 2., 3. ve 4. Seviye Bilişim Teknolojileri ve Yazılım Etkinlikleri Öğretmen Rehberi ve Öğrenci Etkinlik Kitabı Modülü Geliştirilmesi</t>
  </si>
  <si>
    <t>YTÜTTO278</t>
  </si>
  <si>
    <t>YTÜTTO279</t>
  </si>
  <si>
    <t>İBB PROJESİ</t>
  </si>
  <si>
    <t>İSTANBUL'UN HAVA KALİTESİNİN YILLARA GÖRE DEĞİŞİMİNİN İNCELENMESİ</t>
  </si>
  <si>
    <t>YTÜTTO280</t>
  </si>
  <si>
    <t>ARSLAN YAPI  PROJESİ</t>
  </si>
  <si>
    <t>TÜRKER TÜRKER</t>
  </si>
  <si>
    <t>7180256 Nolu TÜBİTAK – TEYDEB İtme Destekli Otomatik Hız Kontrollü Yüksek Emniyetli Döner Kapı Tasarımı ve Prototip İmalatı Projesi</t>
  </si>
  <si>
    <t>KALE KİLİT PROJESİ (2)</t>
  </si>
  <si>
    <t>Trijenerasyon sistemi için mevcut proseslerin incelenerek ve ölçümleri yapılarak belirlenen parametreler doğrultusunda kurulacak model üzerinden optimizasyon çalışmalarının yapılması</t>
  </si>
  <si>
    <t>YTÜTTO281</t>
  </si>
  <si>
    <t>YTÜTTO282</t>
  </si>
  <si>
    <t>ERTAN ACAR İLETİŞİM PROJESİ (2)</t>
  </si>
  <si>
    <t>YTÜTTO283</t>
  </si>
  <si>
    <t xml:space="preserve">LİMAN ÇELİK MAK. PROJESİ </t>
  </si>
  <si>
    <t>TANER COŞGUN</t>
  </si>
  <si>
    <t>EFEMÇUKURU Altın Madeni Pnömatik Hat Optimizasyonu</t>
  </si>
  <si>
    <t>YTÜTTO284</t>
  </si>
  <si>
    <t>FURKAN ÇAKMAK</t>
  </si>
  <si>
    <t xml:space="preserve">TEYDEB 7180518 NOLU ENGELLİ YOLCU YÖNETİMİ PROJESİ  </t>
  </si>
  <si>
    <t>YTÜTTO285</t>
  </si>
  <si>
    <t>NESA POLİMER PROJESİ</t>
  </si>
  <si>
    <t>YTÜTTO286</t>
  </si>
  <si>
    <t>TOYOTETSU PROJESİ</t>
  </si>
  <si>
    <t>BEDRİ ONUR KÜÇÜKYILDIRIM</t>
  </si>
  <si>
    <t>Transfer Kalıplarda Kullanılan Taşıyıcı Plakaların Yorulma ve İyileştirme AnalizlerininYapılarak Maliyetlerinin Azaltılması</t>
  </si>
  <si>
    <t>COŞKUN PARİM</t>
  </si>
  <si>
    <t>YTÜTTO287</t>
  </si>
  <si>
    <t>NUEVO PROJESİ</t>
  </si>
  <si>
    <t>SONGÜL VARLI ALBAYRAK</t>
  </si>
  <si>
    <t>TÜBİTAK – TEYDEB 7170603 Nolu Operatör Görsel Denetimini Öğrenen Mobil Akıllı Denetim Uygulaması Projesi</t>
  </si>
  <si>
    <t>YTÜTTO288</t>
  </si>
  <si>
    <t>MİKFORMEN MAK. PROJESİ</t>
  </si>
  <si>
    <t>TM 900 Termoform Makinesi'ne ait Kinematik ve Yapısal Analizlerin Yapılması</t>
  </si>
  <si>
    <t>YTÜTTO289</t>
  </si>
  <si>
    <t>Darlık Barajı’nda Kurulacak Deformasyon İzleme Sistemi için Standartların Belirlenmesi, Verilerin Analizi ile İlgili Yöntemlerin Araştırılarak Belirlenmesi</t>
  </si>
  <si>
    <t>YTÜTTO290</t>
  </si>
  <si>
    <t>ŞİŞECAM PROJESİ</t>
  </si>
  <si>
    <t>MİRAY ÇELİKBİLEK ERSUNDU</t>
  </si>
  <si>
    <t>“Tübitak 1180125 Nolu, Binek Araçların Hafifletilmesi Kapsamında Mekanik Performansı Yüksek Düşük Ağırlıklı Teknolojik Cam Geliştirilmesi Projesi “ ile ilgili akademik danışmanlık hizmeti</t>
  </si>
  <si>
    <t>YTÜTTO291</t>
  </si>
  <si>
    <t xml:space="preserve">AQUA VİZYON PROJESİ </t>
  </si>
  <si>
    <t>YASİN KARAGÖZ</t>
  </si>
  <si>
    <t>AHMET DOĞAN</t>
  </si>
  <si>
    <t>2170008 Numaralı Deniz ve Okyanus Dalga Enerji Projesi</t>
  </si>
  <si>
    <t>YTÜTTO292</t>
  </si>
  <si>
    <t>İçme Suyu Arıtma Tesis Proseslerinin Matematiksel Modellemesi Araştırma Geliştirme Projesi</t>
  </si>
  <si>
    <t>İO ÇEVRE ÇÖZÜMLERİ PROJESİ</t>
  </si>
  <si>
    <t>YTÜTTO293</t>
  </si>
  <si>
    <t>Kojenerasyon ve Trijenerasyon Sistemlerinde Kullanılan CG132B-8, CG132B-12, CG132B-16, CG170B-20  dört farklı model Gaz Motorunun Farklı Yakıt Özelliklerine ve Kullanılan Sistemlere Göre Verimlilik Değerlerinin Belirlenerek Değişken Fizibilite Modelinin Oluşturulması.</t>
  </si>
  <si>
    <t>YTÜTTO294</t>
  </si>
  <si>
    <t>INNOVA KUYUMCULUK (5)</t>
  </si>
  <si>
    <t>Katı ve sıvı ramatların yapısında bulunan değerli metallerin yüksek verimde geri kazanılması</t>
  </si>
  <si>
    <t>YTÜTTO295</t>
  </si>
  <si>
    <t>PROMECH TEKNOLOJİ PROJESİ</t>
  </si>
  <si>
    <t>Güneş Enerji Santrallerinde Panel Temizleme Makinesi</t>
  </si>
  <si>
    <t>YTÜTTO296</t>
  </si>
  <si>
    <t>İHLAS EV ALETLERİ PROJESİ</t>
  </si>
  <si>
    <t>ÜÇ KATMANLI SEDİMENT FİLTRESİNİN GÖZENEK YAPISININ VE FİLTRASYON VERİMİNİN 
İNCELENMESİ</t>
  </si>
  <si>
    <t>YTÜTTO297</t>
  </si>
  <si>
    <t>Bankacılık İşlemlerinde Sahtekarlık Tespit Modelinin Tasarlanması ve Gerçeklenmesi</t>
  </si>
  <si>
    <t>YTÜTTO298</t>
  </si>
  <si>
    <t>TÜBİTAK BİLGEM PROJESİ (2)</t>
  </si>
  <si>
    <t>ALİ KÖKSAL HOCAOĞLU</t>
  </si>
  <si>
    <t>YUNUS EMRE YAMAÇ</t>
  </si>
  <si>
    <t>Radar Sistem Analizi</t>
  </si>
  <si>
    <t>YTÜTTO299</t>
  </si>
  <si>
    <t>DURMAZLAR MAKİNE PROJESİ</t>
  </si>
  <si>
    <t>31.06.2019</t>
  </si>
  <si>
    <t>TRAMVAY ARACI RAMS ANALİZİ</t>
  </si>
  <si>
    <t>YTÜTTO300</t>
  </si>
  <si>
    <t>VOR YAZILIM PROJESİ</t>
  </si>
  <si>
    <t>MÜHENDİSLİK MİMARLIK FAK.</t>
  </si>
  <si>
    <t>KOSGEB Destekli Yük ve Denge Kontrol Sistemi Projesi</t>
  </si>
  <si>
    <t>YTÜTTO301</t>
  </si>
  <si>
    <t>SAĞLIK BAKANLIĞI (6)</t>
  </si>
  <si>
    <t>T.C. SAĞLIK BAKANLIĞI AŞI VE ANTİ SERUM SOĞUK ZİNCİR VE STOK YÖNETİM SİSTEMİ-VI</t>
  </si>
  <si>
    <t>YTÜTTO302</t>
  </si>
  <si>
    <t>TÜRKGEN YAZILIM PROJESİ</t>
  </si>
  <si>
    <t>9180019 Nolu PARFAIT - Kişisel Veri Güvenliği Temelli IoT Altyapı Platformu ve Uygulamalar Projesi</t>
  </si>
  <si>
    <t>YTÜTTO303</t>
  </si>
  <si>
    <t>TUZLA OGSB PROJESİ (2)</t>
  </si>
  <si>
    <t>ATIK SU DENETİM VE OTOMASYON SİSTEMİ’NİN GELİŞTİRİLMESİ 2. FAZ</t>
  </si>
  <si>
    <t>YTÜTTO304</t>
  </si>
  <si>
    <t>INKA YAPI PROJESİ</t>
  </si>
  <si>
    <t>Farklı Boru kelepçelerinin tek merkezde üretimi için CNC İstasyonu</t>
  </si>
  <si>
    <t>YTÜTTO305</t>
  </si>
  <si>
    <t>MULTİNET TEKNOLOJİ PROJESİ</t>
  </si>
  <si>
    <t>3161216 nolu Kartlı ve Sanal Ödeme (CNP - Card Not Present) Uygulamalarına Yönelik Akıllı Sahtecilik Önleme Sisteminin Geliştirilmesi</t>
  </si>
  <si>
    <t>YTÜTTO306</t>
  </si>
  <si>
    <t>UGETAM PROJESİ (2)</t>
  </si>
  <si>
    <t>ELİF SOYER</t>
  </si>
  <si>
    <t>Su Arıtma Projelendirme ve Teknolojileri Araştırma Geliştirme Projesi</t>
  </si>
  <si>
    <t>YTÜTTO307</t>
  </si>
  <si>
    <t>AYVOS BİLGİ TEK. PROJESİ</t>
  </si>
  <si>
    <t>Görüntü İşleme Tabanlı Video Analitik &amp; Dinamik Reklam  İçerik  Yönetim  Projesi-MOUNT</t>
  </si>
  <si>
    <t>YTÜTTO308</t>
  </si>
  <si>
    <t>TRİBOR AR-GE PROJESİ</t>
  </si>
  <si>
    <t>EMRULLAH HAKAN KALELİ</t>
  </si>
  <si>
    <t>SELMAN DEMİRTAŞ</t>
  </si>
  <si>
    <t>3189065 nolu Nano Borik Asit sentezi, yağlayıcı diğer nano boyutlu parçacıklarla detaylı tribolojik kıyası ve kullanım alanlrının geliştirilmesi</t>
  </si>
  <si>
    <t>YTÜTTO309</t>
  </si>
  <si>
    <t>KALE KİLİT PROJESİ PROJESİ (3)</t>
  </si>
  <si>
    <t>ALİ KOÇAK</t>
  </si>
  <si>
    <t>Kale Kilit ve Kalıp Sanayi Anonim Şirketi’ne Ait Güngören Yerleşkesindeki Binaların Mevcut Durum Tespiti İle Onarım Ve Güçlendirme Projesi Hazırlanması</t>
  </si>
  <si>
    <t>YTÜTTO310</t>
  </si>
  <si>
    <t>YTTO A.Ş PROJESİ</t>
  </si>
  <si>
    <t xml:space="preserve">“Üniversite-Sanayi işbirliği kapsamındaki faaliyetler için AR-GE projesi ön hazırlık ve proje tasarım-yazım danışmanlığı” İşi, </t>
  </si>
  <si>
    <t>Kojenerasyon ve Trijenerasyon Sistemlerinde Kullanılan Wartsila Firmasının 9L32 Model Gaz Motorlarının, Farklı Yakıt Özelliklerine ve Kullanılan Sistemlere Göre Verimlilik Değerlerinin Belirlenerek Değişken Fizibilite Modelinin Oluşturulması</t>
  </si>
  <si>
    <t>YTÜTTO311</t>
  </si>
  <si>
    <t>YTÜTTO312</t>
  </si>
  <si>
    <t>BETATECH PROJESİ (5)</t>
  </si>
  <si>
    <t xml:space="preserve">           16.474,50 ₺</t>
  </si>
  <si>
    <t>YTÜTTO313</t>
  </si>
  <si>
    <t>BETATECH PROJESİ (6)</t>
  </si>
  <si>
    <t>“Fıtık Tedavilerinde Kullanılan Polimerik Meshlerin Biyobozunur Polimerler ile Kaplanma Prosesinin Geliştirilmesi”</t>
  </si>
  <si>
    <t>Antibakteriyel Özellikte Kemik Çimentosu Üretimi</t>
  </si>
  <si>
    <t>YTÜTTO314</t>
  </si>
  <si>
    <t>AYGAZ A.Ş. PROJESİ</t>
  </si>
  <si>
    <t>ALPTEKİN ERGENÇ</t>
  </si>
  <si>
    <t>İçten Yanmalı SI motorlarda LPG kullanımına ilişkin uygulamaların araştırılması</t>
  </si>
  <si>
    <t>YTÜTTO315</t>
  </si>
  <si>
    <t>ERCAN ÖZTEMEL</t>
  </si>
  <si>
    <t>İBB Raylı Sistem Projeler Müdürlüğü Bünyesinde Yürütülen Raylı Sistem Projelerinin Danışmanlık ve Mühendislik Hizmetleri İşi – RSBP (Raylı Sistem Bilgi Platformu) Kapsamındaki İşler [2018/143446]</t>
  </si>
  <si>
    <t>YTÜTTO316</t>
  </si>
  <si>
    <t>YTÜTTO317</t>
  </si>
  <si>
    <t>RAYSİMAŞ PROJESİ (1)</t>
  </si>
  <si>
    <t>RAYSİMAŞ PROJESİ (2)</t>
  </si>
  <si>
    <t>ARİF ULU</t>
  </si>
  <si>
    <t>TÜVASAŞ Personel Konaklama Vagonunun Fren Testlerinin Yapılması, Uygunluk Değerlendirmesi ve Performans İyileştirme Çözümlerinin Araştırılması</t>
  </si>
  <si>
    <t>TÜVASAŞ Personel Konaklama Vagonunun Uygunluk Değerlendirmesi, Analizi ve Performans İyileştirme Çözümlerinin Araştırılması</t>
  </si>
  <si>
    <t>YTÜTTO318</t>
  </si>
  <si>
    <t>GÜLHAN DENİZCİLİK PROJESİ</t>
  </si>
  <si>
    <t>AHMET GÜLTEKİN AVCI</t>
  </si>
  <si>
    <t>SÜLEYMAN DUMAN</t>
  </si>
  <si>
    <t>GEMİ MAKİNALARI İŞLETME MÜH.</t>
  </si>
  <si>
    <t>92 m Korvet İçin Hidrodinamik Analizler</t>
  </si>
  <si>
    <t>MESAN PLASTİK PROJESİ</t>
  </si>
  <si>
    <t>ALİ SERDAR VANLI</t>
  </si>
  <si>
    <t xml:space="preserve">Mobilya Sektörüne Yönelik Açık Sistem Giyinme Odası Sistemi Tasarım Geliştirme Projesi </t>
  </si>
  <si>
    <t>T HUB ROBOT TEKNOLOJİLERİ PROJESİ</t>
  </si>
  <si>
    <t>CENK ULU</t>
  </si>
  <si>
    <t>AKILLI DIŞ CEPHE TEMİZLEME ROBOTU</t>
  </si>
  <si>
    <t>STANTEC PROJESİ</t>
  </si>
  <si>
    <t>MEHMET ÇAKMAKÇI</t>
  </si>
  <si>
    <t>ARITILMIŞ KULLANILMIŞ SULARIN  YENİDEN KULLANIM ALTERNATİFLERİNİN ARAŞTIRILMASI PROJESİ</t>
  </si>
  <si>
    <t>COCA COLA PROJESİ</t>
  </si>
  <si>
    <t>Ş. ÖZGÜR ATAYILMAZ</t>
  </si>
  <si>
    <t>HVAC SİSTEMİ İYİLEŞTİRİLMESİ</t>
  </si>
  <si>
    <t>BOZANKAYA OTOMOTİV</t>
  </si>
  <si>
    <t>TANKUT ACARMAN</t>
  </si>
  <si>
    <t>9170068 Nolu Mevcut Toplu Taşıma Sistemlerinin Elektrikli Otobüslere Entegrasyonunun Hızlandırılması</t>
  </si>
  <si>
    <t>ERNA-MAŞ MAKİNA PROJESİ</t>
  </si>
  <si>
    <t>Elektrik süpürgelerinde akış kaynaklı gürültünün azaltılması ve performansın iyileştirilmesi</t>
  </si>
  <si>
    <t>İGDAŞ PROJESİ</t>
  </si>
  <si>
    <t>Doğlagaz Dağıtım İşletmeleri İçin İş Süreçlerinin Optimizasyonu ve Stratejik Hızlanmış Süreçlere Dayalı İş Yönetim Modelinin Geliştirlmesi Araştırma Projesi</t>
  </si>
  <si>
    <t>BAHAR SENNAROĞLU</t>
  </si>
  <si>
    <t>ÖZLEM ŞENVAR</t>
  </si>
  <si>
    <t>SEMİH ÖZEL</t>
  </si>
  <si>
    <t>ZEYNEP TUĞÇE KALENDER</t>
  </si>
  <si>
    <t>ZİRAAT BANKASI PROJESİ</t>
  </si>
  <si>
    <t>Yapay Zeka Altyapısı Geliştirme</t>
  </si>
  <si>
    <t>ELK MOTOR PROJESİ</t>
  </si>
  <si>
    <t>0.25 kW-7.5 kW güç aralığında IE4 ve üzeri verim seviyesinde Senkron Elektrik Motoru Serisi Tasarımı ve Prototip Yapımı</t>
  </si>
  <si>
    <t>NSMH PROJESİ</t>
  </si>
  <si>
    <t>EMAAR SQARE Alış Veriş Merkezi Rüzgar Denetimi Projesi</t>
  </si>
  <si>
    <t>BEKİR ŞENER</t>
  </si>
  <si>
    <t>HAZAR SU ARITMA PROJESİ</t>
  </si>
  <si>
    <t>“SU ARITIMINDA KULLANILAN BİYOLOJİK AKTİF KARBON ÜNİTESİNİN TASARIMI VE PERFORMANSININ ARAŞTIRILMASI” Projesi</t>
  </si>
  <si>
    <t>AFRA ENERJİ PROJESİ</t>
  </si>
  <si>
    <t>Demir -Çelik Endüstrisi Atığı Cürufun Isıl Geri Kazanım Potansiyelinin Belirlenerek Elektirk Üretiminde kUllanılması Analizi</t>
  </si>
  <si>
    <t>ALİ VOLKAN AKKAYA</t>
  </si>
  <si>
    <t>BURHANETTİN ÇETİN</t>
  </si>
  <si>
    <t>NADER JAVANİ</t>
  </si>
  <si>
    <t>VAKIF EMEKLİLİK PROJESİ</t>
  </si>
  <si>
    <t>SONGÜL VARLI</t>
  </si>
  <si>
    <t>Sigorta Sektöründe Makine Öğrenmesi Algoritmaları kullanılarak Müşteri Çıkışlarının Azaltılması ve Müşteri Tutundurma Yöntemlerinin Başarısını Artıran Karar Destek Sistemi</t>
  </si>
  <si>
    <t>DONE İLETİŞİM PROJESİ</t>
  </si>
  <si>
    <t>Tübitak-Teydeb 3180515 Nolu,  Otel Bağlamında Misafir İhtiyaçlarını Makine Öğrenme Algoritmaları ve Duygu Analizi ile Öğrenerek Misafire Hizmet Eden Akıllı Ön Büro Sistemi-1</t>
  </si>
  <si>
    <t>FİRMASOFT  PROJESİ</t>
  </si>
  <si>
    <t>Tübitak-Teydeb 3180515 Nolu,  Otel Bağlamında Misafir İhtiyaçlarını Makine Öğrenme Algoritmaları ve Duygu Analizi ile Öğrenerek Misafire Hizmet Eden Akıllı Ön Büro Sistemi</t>
  </si>
  <si>
    <t>TANPERA PROJESİ</t>
  </si>
  <si>
    <t>Endüstriyel Otomasyon Sistemine Sahip Yüksek Verimli, Yenilikçi ve Yerli Pompalı Genleşme Sistemi Tasarımı ve Prototip Üretimi</t>
  </si>
  <si>
    <t>TEKNUS MÜH. PROJESİ</t>
  </si>
  <si>
    <t>Konvansiyonel İçme Suyu Arıtma Tesislerinde Proses Bazlı Su Kalitesinin Araştırılması</t>
  </si>
  <si>
    <t>DOĞAN KARADAĞ</t>
  </si>
  <si>
    <t xml:space="preserve">VOKSEL MÜH. PROJESİ </t>
  </si>
  <si>
    <t>AFİFE BİNNAZ HAZAR YORUÇ</t>
  </si>
  <si>
    <t>“3 Boyutlu Yazıcılara uygun Fotokürlenebilir ve Dökülebilir Yerli Reçine Formülasyonlarının Geliştirilmesi”</t>
  </si>
  <si>
    <t>MDS ap Tech Projesi</t>
  </si>
  <si>
    <t>Siber Analiz Uygulaması</t>
  </si>
  <si>
    <t xml:space="preserve">Kojenerasyon ve Trijenerasyon Sistemlerinde Kullanılan MWM marka TCG3016 V16 S model Gaz Motorunun, Farklı Yakıt Özelliklerine ve Kullanılan Sistemlere Göre Elektrik-Termal ve Toplam Verimlilik Değerlerinin Belirlenerek Değişken Fizibilite Modelinin Oluşturulması </t>
  </si>
  <si>
    <t>U. SAVAŞ SELAMOĞULLARI</t>
  </si>
  <si>
    <t>92 m Korvet İçin Gürültü, Hidrodinamik, Yapısal ve Şok Analizleri</t>
  </si>
  <si>
    <t>EMRE KAHRAMANOĞLU</t>
  </si>
  <si>
    <t>MERT SERVEREN</t>
  </si>
  <si>
    <t>3181257 Nolu Orta Direk parçaları için Sıcak Pres Kalıp İnovasyonu</t>
  </si>
  <si>
    <t>TÜBİTAK MAM PROJESİ</t>
  </si>
  <si>
    <t>Nitrata Hassas Bölgelerde Uygulanacak Eylem Planlarının Burdur, Kuzey Ege, Meriç-Ergene, Doğu Akdeniz, Batı Akdeniz, Antalya, Marmara, Konya Kapalı ve Akarçay Havzalarında Su Kalitesine Etkisinin Belirlenmesi Amacı ile Su Kalitesi Modelleme Hizmet Alımı İşi</t>
  </si>
  <si>
    <t>HAMURLABS PROJESİ</t>
  </si>
  <si>
    <t>7180764 Nolu Üretim Sektörüne Yönelik Bilgi Tabanlı Karar Destek Sistemi (Tübitak 1507)</t>
  </si>
  <si>
    <t>SONİTUS MÜH. PROJESİ</t>
  </si>
  <si>
    <t xml:space="preserve">Havalandırma-İklimlendirme Sistemi Tasarım Doğrulama ve Gürültü-Performans Hesaplama Yazılımı Geliştirilmesi </t>
  </si>
  <si>
    <t>BURSA BÜYÜKŞEHİR BELEDİYE PROJESİ</t>
  </si>
  <si>
    <t>KURUÇEŞME ENTEGRE KATI ATIK GERİ KAZANIM VE BERTARAF TESİSİNİN MADENCİLİK FAALİYETLERİ İLE ETKİLEŞİMİNİN ARAŞTIRILMASI</t>
  </si>
  <si>
    <t>BESTAMİ ÖZKYA</t>
  </si>
  <si>
    <t>UĞUR DOĞAN</t>
  </si>
  <si>
    <t>AFŞİN ÇETİNKAYA</t>
  </si>
  <si>
    <t>ETİYA BİLGİ  PROJESİ</t>
  </si>
  <si>
    <t>Yapay Zeka Tabanlı Şirket İç Süreçleri Dijital Asistanı</t>
  </si>
  <si>
    <t>Milli CBTC Sinyalizasyon Sistemi Geliştirmesi Kapsamında Risk Analizi Projesi</t>
  </si>
  <si>
    <t>Sürücüsüz Araç Prototipi (SAP)</t>
  </si>
  <si>
    <t>GÜRDESAN PROJESİ</t>
  </si>
  <si>
    <t>OFFSHORE KREYNİ VE EĞİTİM PLATFORMU YAPISAL TASARIM VE ANALİZLERİ</t>
  </si>
  <si>
    <t>POLEN UN PROJESİ</t>
  </si>
  <si>
    <t>ÖMER SAİT TOKER</t>
  </si>
  <si>
    <t>3181397 Nolu Isıl İşlem Sonrası Akışkanlık Stabilitesine Sahip Yağ Bazlı Şekersiz Dolgu Kreması Projesi</t>
  </si>
  <si>
    <t>ZENO BİLİŞİM PROJESİ</t>
  </si>
  <si>
    <t>Farklı Dikey Sektörlere Konumlanabilecek, Son Kullanıcının Kolayca Uygulama Geliştirmesine Olanak Sağlayan, Makine Öğrenmesi Destekli, Müşteri İlişkileri ve İş Yönetim Sistemi Platformu</t>
  </si>
  <si>
    <t>GS ÜNİV.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</si>
</sst>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₺&quot;_-;\-* #,##0.00\ &quot;₺&quot;_-;_-* &quot;-&quot;??\ &quot;₺&quot;_-;_-@_-"/>
    <numFmt numFmtId="164" formatCode="_-* #,##0.00\ [$₺-41F]_-;\-* #,##0.00\ [$₺-41F]_-;_-* &quot;-&quot;??\ [$₺-41F]_-;_-@_-"/>
  </numFmts>
  <fonts count="2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i/>
      <sz val="1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charset val="16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162"/>
      <scheme val="minor"/>
    </font>
    <font>
      <sz val="11"/>
      <color theme="1"/>
      <name val="Calibri (Gövde)_x0000_"/>
      <charset val="162"/>
    </font>
    <font>
      <i/>
      <u/>
      <sz val="11"/>
      <color theme="1"/>
      <name val="Calibri"/>
      <family val="2"/>
      <charset val="162"/>
      <scheme val="minor"/>
    </font>
    <font>
      <b/>
      <sz val="10"/>
      <color rgb="FF000000"/>
      <name val="Tahoma"/>
      <family val="2"/>
      <charset val="162"/>
    </font>
    <font>
      <sz val="10"/>
      <color rgb="FF000000"/>
      <name val="Tahoma"/>
      <family val="2"/>
      <charset val="162"/>
    </font>
    <font>
      <i/>
      <u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29">
    <xf numFmtId="0" fontId="0" fillId="0" borderId="0" xfId="0"/>
    <xf numFmtId="0" fontId="0" fillId="2" borderId="14" xfId="0" applyFont="1" applyFill="1" applyBorder="1" applyAlignment="1">
      <alignment vertical="center"/>
    </xf>
    <xf numFmtId="0" fontId="0" fillId="2" borderId="14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vertical="center"/>
    </xf>
    <xf numFmtId="0" fontId="0" fillId="2" borderId="16" xfId="0" applyFont="1" applyFill="1" applyBorder="1" applyAlignment="1">
      <alignment vertical="center" wrapText="1"/>
    </xf>
    <xf numFmtId="0" fontId="0" fillId="2" borderId="21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vertical="center" wrapText="1"/>
    </xf>
    <xf numFmtId="0" fontId="0" fillId="2" borderId="15" xfId="0" applyFont="1" applyFill="1" applyBorder="1" applyAlignment="1">
      <alignment vertical="center" wrapText="1"/>
    </xf>
    <xf numFmtId="0" fontId="0" fillId="2" borderId="14" xfId="0" applyFont="1" applyFill="1" applyBorder="1" applyAlignment="1">
      <alignment horizontal="left" vertical="center"/>
    </xf>
    <xf numFmtId="0" fontId="0" fillId="2" borderId="15" xfId="0" applyFont="1" applyFill="1" applyBorder="1" applyAlignment="1">
      <alignment horizontal="left" vertical="center"/>
    </xf>
    <xf numFmtId="0" fontId="0" fillId="2" borderId="16" xfId="0" applyFont="1" applyFill="1" applyBorder="1" applyAlignment="1">
      <alignment vertical="center"/>
    </xf>
    <xf numFmtId="0" fontId="0" fillId="2" borderId="15" xfId="0" applyFont="1" applyFill="1" applyBorder="1" applyAlignment="1">
      <alignment vertical="center"/>
    </xf>
    <xf numFmtId="0" fontId="0" fillId="2" borderId="16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16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0" fillId="2" borderId="21" xfId="0" applyFont="1" applyFill="1" applyBorder="1" applyAlignment="1">
      <alignment vertical="center" wrapText="1"/>
    </xf>
    <xf numFmtId="14" fontId="0" fillId="2" borderId="14" xfId="0" applyNumberFormat="1" applyFont="1" applyFill="1" applyBorder="1" applyAlignment="1">
      <alignment vertical="center"/>
    </xf>
    <xf numFmtId="14" fontId="0" fillId="2" borderId="16" xfId="0" applyNumberFormat="1" applyFont="1" applyFill="1" applyBorder="1" applyAlignment="1">
      <alignment vertical="center"/>
    </xf>
    <xf numFmtId="14" fontId="0" fillId="2" borderId="15" xfId="0" applyNumberFormat="1" applyFont="1" applyFill="1" applyBorder="1" applyAlignment="1">
      <alignment vertical="center"/>
    </xf>
    <xf numFmtId="14" fontId="0" fillId="2" borderId="2" xfId="0" applyNumberFormat="1" applyFont="1" applyFill="1" applyBorder="1" applyAlignment="1">
      <alignment vertical="center"/>
    </xf>
    <xf numFmtId="14" fontId="0" fillId="2" borderId="4" xfId="0" applyNumberFormat="1" applyFont="1" applyFill="1" applyBorder="1" applyAlignment="1">
      <alignment vertical="center"/>
    </xf>
    <xf numFmtId="14" fontId="0" fillId="2" borderId="24" xfId="0" applyNumberFormat="1" applyFont="1" applyFill="1" applyBorder="1" applyAlignment="1">
      <alignment vertical="center"/>
    </xf>
    <xf numFmtId="14" fontId="0" fillId="2" borderId="26" xfId="0" applyNumberFormat="1" applyFont="1" applyFill="1" applyBorder="1" applyAlignment="1">
      <alignment vertical="center"/>
    </xf>
    <xf numFmtId="0" fontId="0" fillId="2" borderId="24" xfId="0" applyFont="1" applyFill="1" applyBorder="1" applyAlignment="1">
      <alignment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vertical="center" wrapText="1"/>
    </xf>
    <xf numFmtId="0" fontId="0" fillId="2" borderId="25" xfId="0" applyFont="1" applyFill="1" applyBorder="1" applyAlignment="1">
      <alignment horizontal="center" vertical="center" wrapText="1"/>
    </xf>
    <xf numFmtId="14" fontId="0" fillId="2" borderId="27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 wrapText="1"/>
    </xf>
    <xf numFmtId="14" fontId="0" fillId="2" borderId="25" xfId="0" applyNumberFormat="1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0" fillId="2" borderId="0" xfId="0" applyNumberFormat="1" applyFont="1" applyFill="1" applyAlignment="1">
      <alignment vertical="center"/>
    </xf>
    <xf numFmtId="0" fontId="0" fillId="2" borderId="0" xfId="0" applyFont="1" applyFill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left" vertical="center" wrapText="1"/>
    </xf>
    <xf numFmtId="14" fontId="0" fillId="2" borderId="30" xfId="0" applyNumberFormat="1" applyFont="1" applyFill="1" applyBorder="1" applyAlignment="1">
      <alignment vertical="center"/>
    </xf>
    <xf numFmtId="14" fontId="0" fillId="2" borderId="31" xfId="0" applyNumberFormat="1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 wrapText="1"/>
    </xf>
    <xf numFmtId="0" fontId="0" fillId="2" borderId="16" xfId="0" applyFont="1" applyFill="1" applyBorder="1" applyAlignment="1">
      <alignment vertical="center" wrapText="1"/>
    </xf>
    <xf numFmtId="0" fontId="0" fillId="2" borderId="16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vertical="center" wrapText="1"/>
    </xf>
    <xf numFmtId="0" fontId="0" fillId="2" borderId="15" xfId="0" applyFont="1" applyFill="1" applyBorder="1" applyAlignment="1">
      <alignment vertical="center" wrapText="1"/>
    </xf>
    <xf numFmtId="0" fontId="0" fillId="2" borderId="14" xfId="0" applyFont="1" applyFill="1" applyBorder="1" applyAlignment="1">
      <alignment vertical="center"/>
    </xf>
    <xf numFmtId="0" fontId="0" fillId="2" borderId="15" xfId="0" applyFont="1" applyFill="1" applyBorder="1" applyAlignment="1">
      <alignment vertical="center"/>
    </xf>
    <xf numFmtId="0" fontId="0" fillId="2" borderId="16" xfId="0" applyFont="1" applyFill="1" applyBorder="1" applyAlignment="1">
      <alignment horizontal="left" vertical="center"/>
    </xf>
    <xf numFmtId="0" fontId="0" fillId="2" borderId="16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14" fontId="1" fillId="2" borderId="14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 wrapText="1"/>
    </xf>
    <xf numFmtId="0" fontId="0" fillId="0" borderId="16" xfId="0" applyFont="1" applyFill="1" applyBorder="1" applyAlignment="1">
      <alignment vertical="center" wrapText="1"/>
    </xf>
    <xf numFmtId="0" fontId="0" fillId="0" borderId="15" xfId="0" applyFont="1" applyFill="1" applyBorder="1" applyAlignment="1">
      <alignment vertical="center" wrapText="1"/>
    </xf>
    <xf numFmtId="14" fontId="1" fillId="2" borderId="16" xfId="0" applyNumberFormat="1" applyFont="1" applyFill="1" applyBorder="1" applyAlignment="1">
      <alignment horizontal="center" vertical="center"/>
    </xf>
    <xf numFmtId="14" fontId="1" fillId="2" borderId="15" xfId="0" applyNumberFormat="1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6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/>
    </xf>
    <xf numFmtId="0" fontId="0" fillId="2" borderId="15" xfId="0" applyFont="1" applyFill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vertical="center"/>
    </xf>
    <xf numFmtId="0" fontId="0" fillId="0" borderId="29" xfId="0" applyFont="1" applyFill="1" applyBorder="1" applyAlignment="1">
      <alignment vertical="center"/>
    </xf>
    <xf numFmtId="14" fontId="0" fillId="2" borderId="24" xfId="0" applyNumberFormat="1" applyFont="1" applyFill="1" applyBorder="1" applyAlignment="1">
      <alignment vertical="center"/>
    </xf>
    <xf numFmtId="14" fontId="0" fillId="2" borderId="25" xfId="0" applyNumberFormat="1" applyFont="1" applyFill="1" applyBorder="1" applyAlignment="1">
      <alignment vertical="center"/>
    </xf>
    <xf numFmtId="44" fontId="0" fillId="2" borderId="2" xfId="2" applyFont="1" applyFill="1" applyBorder="1" applyAlignment="1">
      <alignment horizontal="center" vertical="center"/>
    </xf>
    <xf numFmtId="44" fontId="0" fillId="2" borderId="21" xfId="2" applyFont="1" applyFill="1" applyBorder="1" applyAlignment="1">
      <alignment horizontal="center" vertical="center"/>
    </xf>
    <xf numFmtId="44" fontId="0" fillId="2" borderId="24" xfId="2" applyFont="1" applyFill="1" applyBorder="1" applyAlignment="1">
      <alignment horizontal="center" vertical="center"/>
    </xf>
    <xf numFmtId="44" fontId="0" fillId="2" borderId="25" xfId="2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vertical="center" wrapText="1"/>
    </xf>
    <xf numFmtId="0" fontId="0" fillId="2" borderId="25" xfId="0" applyFont="1" applyFill="1" applyBorder="1" applyAlignment="1">
      <alignment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horizontal="center" vertical="center" wrapText="1"/>
    </xf>
    <xf numFmtId="14" fontId="10" fillId="2" borderId="14" xfId="0" applyNumberFormat="1" applyFont="1" applyFill="1" applyBorder="1" applyAlignment="1">
      <alignment horizontal="center" vertical="center"/>
    </xf>
    <xf numFmtId="14" fontId="10" fillId="2" borderId="34" xfId="0" applyNumberFormat="1" applyFont="1" applyFill="1" applyBorder="1" applyAlignment="1">
      <alignment horizontal="center" vertical="center"/>
    </xf>
    <xf numFmtId="44" fontId="3" fillId="2" borderId="14" xfId="0" applyNumberFormat="1" applyFont="1" applyFill="1" applyBorder="1" applyAlignment="1">
      <alignment horizontal="center" vertical="center"/>
    </xf>
    <xf numFmtId="44" fontId="3" fillId="2" borderId="34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2" borderId="14" xfId="0" applyFont="1" applyFill="1" applyBorder="1" applyAlignment="1">
      <alignment vertical="center" wrapText="1"/>
    </xf>
    <xf numFmtId="0" fontId="0" fillId="2" borderId="1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14" fontId="8" fillId="2" borderId="14" xfId="0" applyNumberFormat="1" applyFont="1" applyFill="1" applyBorder="1" applyAlignment="1">
      <alignment horizontal="center" vertical="center"/>
    </xf>
    <xf numFmtId="14" fontId="8" fillId="2" borderId="15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vertical="center"/>
    </xf>
    <xf numFmtId="0" fontId="0" fillId="2" borderId="15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0" fontId="0" fillId="2" borderId="30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31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44" fontId="0" fillId="2" borderId="8" xfId="2" applyFont="1" applyFill="1" applyBorder="1" applyAlignment="1">
      <alignment horizontal="center" vertical="center"/>
    </xf>
    <xf numFmtId="44" fontId="0" fillId="2" borderId="6" xfId="2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29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4" fontId="0" fillId="2" borderId="5" xfId="0" applyNumberFormat="1" applyFont="1" applyFill="1" applyBorder="1" applyAlignment="1">
      <alignment horizontal="center" vertical="center"/>
    </xf>
    <xf numFmtId="44" fontId="0" fillId="2" borderId="4" xfId="2" applyFont="1" applyFill="1" applyBorder="1" applyAlignment="1">
      <alignment horizontal="center" vertical="center"/>
    </xf>
    <xf numFmtId="44" fontId="0" fillId="2" borderId="16" xfId="2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vertical="center"/>
    </xf>
    <xf numFmtId="14" fontId="0" fillId="2" borderId="27" xfId="0" applyNumberFormat="1" applyFont="1" applyFill="1" applyBorder="1" applyAlignment="1">
      <alignment vertical="center"/>
    </xf>
    <xf numFmtId="0" fontId="0" fillId="2" borderId="16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horizontal="center" vertical="center" wrapText="1"/>
    </xf>
    <xf numFmtId="0" fontId="0" fillId="2" borderId="26" xfId="0" applyFont="1" applyFill="1" applyBorder="1" applyAlignment="1">
      <alignment vertical="center" wrapText="1"/>
    </xf>
    <xf numFmtId="0" fontId="0" fillId="2" borderId="26" xfId="0" applyFont="1" applyFill="1" applyBorder="1" applyAlignment="1">
      <alignment horizontal="center" vertical="center" wrapText="1"/>
    </xf>
    <xf numFmtId="0" fontId="0" fillId="2" borderId="32" xfId="0" applyFont="1" applyFill="1" applyBorder="1" applyAlignment="1">
      <alignment horizontal="left" vertical="center" wrapText="1"/>
    </xf>
    <xf numFmtId="44" fontId="0" fillId="2" borderId="14" xfId="2" applyFont="1" applyFill="1" applyBorder="1" applyAlignment="1">
      <alignment horizontal="center" vertical="center"/>
    </xf>
    <xf numFmtId="44" fontId="0" fillId="2" borderId="15" xfId="2" applyFont="1" applyFill="1" applyBorder="1" applyAlignment="1">
      <alignment horizontal="center" vertical="center"/>
    </xf>
    <xf numFmtId="164" fontId="0" fillId="2" borderId="14" xfId="0" applyNumberFormat="1" applyFont="1" applyFill="1" applyBorder="1" applyAlignment="1">
      <alignment horizontal="center" vertical="center"/>
    </xf>
    <xf numFmtId="164" fontId="0" fillId="2" borderId="16" xfId="0" applyNumberFormat="1" applyFont="1" applyFill="1" applyBorder="1" applyAlignment="1">
      <alignment horizontal="center" vertical="center"/>
    </xf>
    <xf numFmtId="164" fontId="0" fillId="2" borderId="15" xfId="0" applyNumberFormat="1" applyFon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164" fontId="0" fillId="2" borderId="21" xfId="0" applyNumberFormat="1" applyFont="1" applyFill="1" applyBorder="1" applyAlignment="1">
      <alignment horizontal="center" vertical="center"/>
    </xf>
    <xf numFmtId="14" fontId="0" fillId="2" borderId="26" xfId="0" applyNumberFormat="1" applyFont="1" applyFill="1" applyBorder="1" applyAlignment="1">
      <alignment vertical="center"/>
    </xf>
    <xf numFmtId="164" fontId="0" fillId="2" borderId="14" xfId="2" applyNumberFormat="1" applyFont="1" applyFill="1" applyBorder="1" applyAlignment="1">
      <alignment horizontal="center" vertical="center"/>
    </xf>
    <xf numFmtId="164" fontId="0" fillId="2" borderId="16" xfId="2" applyNumberFormat="1" applyFont="1" applyFill="1" applyBorder="1" applyAlignment="1">
      <alignment horizontal="center" vertical="center"/>
    </xf>
    <xf numFmtId="164" fontId="0" fillId="2" borderId="15" xfId="2" applyNumberFormat="1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left" wrapText="1"/>
    </xf>
    <xf numFmtId="0" fontId="0" fillId="2" borderId="15" xfId="0" applyFont="1" applyFill="1" applyBorder="1" applyAlignment="1">
      <alignment horizontal="left" wrapText="1"/>
    </xf>
    <xf numFmtId="14" fontId="1" fillId="2" borderId="14" xfId="0" applyNumberFormat="1" applyFont="1" applyFill="1" applyBorder="1" applyAlignment="1">
      <alignment horizontal="center" vertical="center" wrapText="1"/>
    </xf>
    <xf numFmtId="14" fontId="1" fillId="2" borderId="15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/>
    </xf>
    <xf numFmtId="14" fontId="1" fillId="2" borderId="21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14" fontId="1" fillId="2" borderId="19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vertical="center" wrapText="1"/>
    </xf>
    <xf numFmtId="164" fontId="7" fillId="2" borderId="17" xfId="0" applyNumberFormat="1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164" fontId="7" fillId="2" borderId="19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/>
    </xf>
    <xf numFmtId="0" fontId="0" fillId="2" borderId="17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14" fontId="0" fillId="2" borderId="14" xfId="0" applyNumberFormat="1" applyFont="1" applyFill="1" applyBorder="1" applyAlignment="1">
      <alignment horizontal="left" vertical="center"/>
    </xf>
    <xf numFmtId="0" fontId="0" fillId="2" borderId="17" xfId="0" applyFont="1" applyFill="1" applyBorder="1" applyAlignment="1">
      <alignment horizontal="left" vertical="center"/>
    </xf>
    <xf numFmtId="0" fontId="0" fillId="2" borderId="19" xfId="0" applyFont="1" applyFill="1" applyBorder="1" applyAlignment="1">
      <alignment horizontal="left" vertical="center"/>
    </xf>
    <xf numFmtId="0" fontId="0" fillId="2" borderId="17" xfId="0" applyFont="1" applyFill="1" applyBorder="1" applyAlignment="1">
      <alignment horizontal="left" vertical="center" wrapText="1"/>
    </xf>
    <xf numFmtId="0" fontId="0" fillId="2" borderId="19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64" fontId="0" fillId="2" borderId="17" xfId="2" applyNumberFormat="1" applyFont="1" applyFill="1" applyBorder="1" applyAlignment="1">
      <alignment horizontal="center" vertical="center"/>
    </xf>
    <xf numFmtId="164" fontId="0" fillId="2" borderId="19" xfId="2" applyNumberFormat="1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vertical="center" wrapText="1"/>
    </xf>
    <xf numFmtId="0" fontId="0" fillId="2" borderId="19" xfId="0" applyFont="1" applyFill="1" applyBorder="1" applyAlignment="1">
      <alignment vertical="center" wrapText="1"/>
    </xf>
    <xf numFmtId="0" fontId="0" fillId="2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vertical="center" wrapText="1"/>
    </xf>
    <xf numFmtId="0" fontId="0" fillId="0" borderId="18" xfId="0" applyFont="1" applyFill="1" applyBorder="1" applyAlignment="1">
      <alignment vertical="center" wrapText="1"/>
    </xf>
    <xf numFmtId="0" fontId="0" fillId="0" borderId="19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21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4" fontId="8" fillId="2" borderId="16" xfId="0" applyNumberFormat="1" applyFont="1" applyFill="1" applyBorder="1" applyAlignment="1">
      <alignment horizontal="center" vertical="center"/>
    </xf>
    <xf numFmtId="164" fontId="7" fillId="2" borderId="17" xfId="0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 wrapText="1"/>
    </xf>
    <xf numFmtId="0" fontId="0" fillId="2" borderId="2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14" fontId="1" fillId="2" borderId="16" xfId="0" applyNumberFormat="1" applyFont="1" applyFill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left" vertical="center" wrapText="1"/>
    </xf>
    <xf numFmtId="0" fontId="0" fillId="2" borderId="36" xfId="0" applyFont="1" applyFill="1" applyBorder="1" applyAlignment="1">
      <alignment horizontal="left" vertical="center" wrapText="1"/>
    </xf>
    <xf numFmtId="0" fontId="0" fillId="2" borderId="25" xfId="0" applyFont="1" applyFill="1" applyBorder="1" applyAlignment="1">
      <alignment horizontal="left" vertical="center" wrapText="1"/>
    </xf>
    <xf numFmtId="14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4" fontId="0" fillId="2" borderId="0" xfId="2" applyFont="1" applyFill="1" applyBorder="1" applyAlignment="1">
      <alignment horizontal="center" vertical="center"/>
    </xf>
    <xf numFmtId="44" fontId="0" fillId="2" borderId="26" xfId="2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vertical="center"/>
    </xf>
    <xf numFmtId="0" fontId="0" fillId="2" borderId="20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14" fontId="10" fillId="3" borderId="14" xfId="0" applyNumberFormat="1" applyFont="1" applyFill="1" applyBorder="1" applyAlignment="1">
      <alignment horizontal="center" vertical="center"/>
    </xf>
    <xf numFmtId="14" fontId="10" fillId="3" borderId="16" xfId="0" applyNumberFormat="1" applyFont="1" applyFill="1" applyBorder="1" applyAlignment="1">
      <alignment horizontal="center" vertical="center"/>
    </xf>
    <xf numFmtId="164" fontId="11" fillId="3" borderId="14" xfId="0" applyNumberFormat="1" applyFont="1" applyFill="1" applyBorder="1" applyAlignment="1">
      <alignment horizontal="center" vertical="center"/>
    </xf>
    <xf numFmtId="164" fontId="11" fillId="3" borderId="16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3" fillId="0" borderId="34" xfId="0" applyFont="1" applyFill="1" applyBorder="1" applyAlignment="1">
      <alignment vertical="center"/>
    </xf>
    <xf numFmtId="14" fontId="3" fillId="2" borderId="14" xfId="0" applyNumberFormat="1" applyFont="1" applyFill="1" applyBorder="1" applyAlignment="1">
      <alignment vertical="center"/>
    </xf>
    <xf numFmtId="14" fontId="3" fillId="2" borderId="34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44" fontId="1" fillId="2" borderId="24" xfId="2" applyFont="1" applyFill="1" applyBorder="1" applyAlignment="1">
      <alignment horizontal="center" vertical="center"/>
    </xf>
    <xf numFmtId="44" fontId="1" fillId="2" borderId="25" xfId="2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0" fillId="0" borderId="24" xfId="0" applyFont="1" applyFill="1" applyBorder="1" applyAlignment="1">
      <alignment vertical="center" wrapText="1"/>
    </xf>
    <xf numFmtId="0" fontId="0" fillId="0" borderId="25" xfId="0" applyFont="1" applyFill="1" applyBorder="1" applyAlignment="1">
      <alignment vertical="center" wrapText="1"/>
    </xf>
    <xf numFmtId="0" fontId="3" fillId="0" borderId="16" xfId="0" applyFont="1" applyFill="1" applyBorder="1" applyAlignment="1">
      <alignment vertical="center"/>
    </xf>
    <xf numFmtId="44" fontId="3" fillId="2" borderId="2" xfId="0" applyNumberFormat="1" applyFont="1" applyFill="1" applyBorder="1" applyAlignment="1">
      <alignment horizontal="center" vertical="center"/>
    </xf>
    <xf numFmtId="44" fontId="3" fillId="2" borderId="35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 wrapText="1"/>
    </xf>
    <xf numFmtId="0" fontId="3" fillId="2" borderId="34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34" xfId="0" applyFont="1" applyFill="1" applyBorder="1" applyAlignment="1">
      <alignment horizontal="left" vertical="center" wrapText="1"/>
    </xf>
    <xf numFmtId="14" fontId="10" fillId="2" borderId="16" xfId="0" applyNumberFormat="1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0" fillId="0" borderId="39" xfId="0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2" borderId="20" xfId="0" applyFont="1" applyFill="1" applyBorder="1" applyAlignment="1">
      <alignment horizontal="left" vertical="center" wrapText="1"/>
    </xf>
    <xf numFmtId="0" fontId="0" fillId="2" borderId="39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0" fillId="0" borderId="40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2" borderId="23" xfId="0" applyFont="1" applyFill="1" applyBorder="1" applyAlignment="1">
      <alignment horizontal="left" vertical="center" wrapText="1"/>
    </xf>
    <xf numFmtId="0" fontId="0" fillId="2" borderId="40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14" fontId="15" fillId="0" borderId="20" xfId="0" applyNumberFormat="1" applyFont="1" applyBorder="1" applyAlignment="1">
      <alignment vertical="center"/>
    </xf>
    <xf numFmtId="14" fontId="15" fillId="0" borderId="16" xfId="0" applyNumberFormat="1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39" xfId="0" applyFont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39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 wrapText="1"/>
    </xf>
    <xf numFmtId="0" fontId="0" fillId="0" borderId="39" xfId="0" applyFont="1" applyFill="1" applyBorder="1" applyAlignment="1">
      <alignment vertical="center" wrapText="1"/>
    </xf>
    <xf numFmtId="0" fontId="0" fillId="2" borderId="20" xfId="0" applyFont="1" applyFill="1" applyBorder="1" applyAlignment="1">
      <alignment vertical="center" wrapText="1"/>
    </xf>
    <xf numFmtId="0" fontId="0" fillId="0" borderId="39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2" borderId="20" xfId="0" applyFont="1" applyFill="1" applyBorder="1" applyAlignment="1">
      <alignment horizontal="left" vertical="center" wrapText="1"/>
    </xf>
    <xf numFmtId="0" fontId="0" fillId="2" borderId="39" xfId="0" applyFont="1" applyFill="1" applyBorder="1" applyAlignment="1">
      <alignment vertical="center"/>
    </xf>
    <xf numFmtId="0" fontId="0" fillId="0" borderId="20" xfId="0" applyFont="1" applyFill="1" applyBorder="1" applyAlignment="1">
      <alignment horizontal="left" vertical="center"/>
    </xf>
    <xf numFmtId="0" fontId="0" fillId="0" borderId="16" xfId="0" applyFont="1" applyFill="1" applyBorder="1" applyAlignment="1">
      <alignment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2" borderId="39" xfId="0" applyFont="1" applyFill="1" applyBorder="1" applyAlignment="1">
      <alignment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left" vertical="center"/>
    </xf>
    <xf numFmtId="0" fontId="15" fillId="0" borderId="20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3" fillId="0" borderId="39" xfId="0" applyFont="1" applyFill="1" applyBorder="1" applyAlignment="1">
      <alignment vertical="center"/>
    </xf>
    <xf numFmtId="0" fontId="0" fillId="2" borderId="20" xfId="0" applyFont="1" applyFill="1" applyBorder="1" applyAlignment="1">
      <alignment vertical="center"/>
    </xf>
    <xf numFmtId="0" fontId="0" fillId="2" borderId="20" xfId="0" applyFont="1" applyFill="1" applyBorder="1" applyAlignment="1">
      <alignment horizontal="left" vertical="center"/>
    </xf>
    <xf numFmtId="0" fontId="0" fillId="2" borderId="39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0" fillId="0" borderId="20" xfId="0" applyFont="1" applyFill="1" applyBorder="1" applyAlignment="1">
      <alignment horizontal="left" vertical="center"/>
    </xf>
    <xf numFmtId="0" fontId="0" fillId="0" borderId="39" xfId="0" applyFont="1" applyFill="1" applyBorder="1" applyAlignment="1">
      <alignment horizontal="left" vertical="center"/>
    </xf>
    <xf numFmtId="0" fontId="0" fillId="2" borderId="20" xfId="0" applyFont="1" applyFill="1" applyBorder="1" applyAlignment="1">
      <alignment horizontal="left" vertical="center"/>
    </xf>
    <xf numFmtId="0" fontId="0" fillId="2" borderId="39" xfId="0" applyFont="1" applyFill="1" applyBorder="1" applyAlignment="1">
      <alignment horizontal="left" vertical="center"/>
    </xf>
    <xf numFmtId="0" fontId="0" fillId="0" borderId="20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/>
    </xf>
    <xf numFmtId="14" fontId="12" fillId="0" borderId="17" xfId="0" applyNumberFormat="1" applyFont="1" applyFill="1" applyBorder="1" applyAlignment="1">
      <alignment horizontal="center" vertical="center"/>
    </xf>
    <xf numFmtId="14" fontId="12" fillId="0" borderId="19" xfId="0" applyNumberFormat="1" applyFont="1" applyFill="1" applyBorder="1" applyAlignment="1">
      <alignment horizontal="center" vertical="center"/>
    </xf>
    <xf numFmtId="14" fontId="12" fillId="0" borderId="18" xfId="0" applyNumberFormat="1" applyFont="1" applyFill="1" applyBorder="1" applyAlignment="1">
      <alignment horizontal="center" vertical="center"/>
    </xf>
    <xf numFmtId="14" fontId="12" fillId="0" borderId="39" xfId="0" applyNumberFormat="1" applyFont="1" applyFill="1" applyBorder="1" applyAlignment="1">
      <alignment horizontal="center" vertical="center"/>
    </xf>
    <xf numFmtId="14" fontId="7" fillId="0" borderId="18" xfId="0" applyNumberFormat="1" applyFont="1" applyFill="1" applyBorder="1" applyAlignment="1">
      <alignment horizontal="center" vertical="center" wrapText="1"/>
    </xf>
    <xf numFmtId="14" fontId="7" fillId="2" borderId="18" xfId="0" applyNumberFormat="1" applyFont="1" applyFill="1" applyBorder="1" applyAlignment="1">
      <alignment horizontal="center" vertical="center"/>
    </xf>
    <xf numFmtId="14" fontId="1" fillId="0" borderId="20" xfId="0" applyNumberFormat="1" applyFont="1" applyFill="1" applyBorder="1" applyAlignment="1">
      <alignment horizontal="center" vertical="center" wrapText="1"/>
    </xf>
    <xf numFmtId="14" fontId="1" fillId="0" borderId="39" xfId="0" applyNumberFormat="1" applyFont="1" applyFill="1" applyBorder="1" applyAlignment="1">
      <alignment horizontal="center" vertical="center" wrapText="1"/>
    </xf>
    <xf numFmtId="14" fontId="16" fillId="0" borderId="39" xfId="0" applyNumberFormat="1" applyFont="1" applyFill="1" applyBorder="1" applyAlignment="1">
      <alignment horizontal="center" vertical="center" wrapText="1"/>
    </xf>
    <xf numFmtId="14" fontId="16" fillId="0" borderId="18" xfId="0" applyNumberFormat="1" applyFont="1" applyFill="1" applyBorder="1" applyAlignment="1">
      <alignment horizontal="center" vertical="center" wrapText="1"/>
    </xf>
    <xf numFmtId="14" fontId="16" fillId="2" borderId="18" xfId="0" applyNumberFormat="1" applyFont="1" applyFill="1" applyBorder="1" applyAlignment="1">
      <alignment horizontal="center" vertical="center"/>
    </xf>
    <xf numFmtId="14" fontId="16" fillId="0" borderId="18" xfId="0" applyNumberFormat="1" applyFont="1" applyFill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14" fontId="16" fillId="0" borderId="20" xfId="0" applyNumberFormat="1" applyFont="1" applyFill="1" applyBorder="1" applyAlignment="1">
      <alignment horizontal="center" vertical="center" wrapText="1"/>
    </xf>
    <xf numFmtId="14" fontId="16" fillId="0" borderId="16" xfId="0" applyNumberFormat="1" applyFont="1" applyFill="1" applyBorder="1" applyAlignment="1">
      <alignment horizontal="center" vertical="center" wrapText="1"/>
    </xf>
    <xf numFmtId="14" fontId="16" fillId="2" borderId="20" xfId="0" applyNumberFormat="1" applyFont="1" applyFill="1" applyBorder="1" applyAlignment="1">
      <alignment horizontal="center" vertical="center"/>
    </xf>
    <xf numFmtId="14" fontId="16" fillId="2" borderId="16" xfId="0" applyNumberFormat="1" applyFont="1" applyFill="1" applyBorder="1" applyAlignment="1">
      <alignment horizontal="center" vertical="center"/>
    </xf>
    <xf numFmtId="14" fontId="16" fillId="2" borderId="39" xfId="0" applyNumberFormat="1" applyFont="1" applyFill="1" applyBorder="1" applyAlignment="1">
      <alignment horizontal="center" vertical="center"/>
    </xf>
    <xf numFmtId="14" fontId="16" fillId="2" borderId="20" xfId="0" applyNumberFormat="1" applyFont="1" applyFill="1" applyBorder="1" applyAlignment="1">
      <alignment horizontal="center" vertical="center" wrapText="1"/>
    </xf>
    <xf numFmtId="14" fontId="16" fillId="2" borderId="16" xfId="0" applyNumberFormat="1" applyFont="1" applyFill="1" applyBorder="1" applyAlignment="1">
      <alignment horizontal="center" vertical="center" wrapText="1"/>
    </xf>
    <xf numFmtId="14" fontId="16" fillId="2" borderId="39" xfId="0" applyNumberFormat="1" applyFont="1" applyFill="1" applyBorder="1" applyAlignment="1">
      <alignment horizontal="center" vertical="center" wrapText="1"/>
    </xf>
    <xf numFmtId="14" fontId="19" fillId="0" borderId="18" xfId="0" applyNumberFormat="1" applyFont="1" applyFill="1" applyBorder="1" applyAlignment="1">
      <alignment horizontal="center" vertical="center" wrapText="1"/>
    </xf>
    <xf numFmtId="14" fontId="19" fillId="2" borderId="18" xfId="0" applyNumberFormat="1" applyFont="1" applyFill="1" applyBorder="1" applyAlignment="1">
      <alignment horizontal="center" vertical="center"/>
    </xf>
    <xf numFmtId="14" fontId="19" fillId="2" borderId="19" xfId="0" applyNumberFormat="1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14" fontId="13" fillId="2" borderId="17" xfId="0" applyNumberFormat="1" applyFont="1" applyFill="1" applyBorder="1" applyAlignment="1">
      <alignment horizontal="center" vertical="center"/>
    </xf>
    <xf numFmtId="14" fontId="13" fillId="2" borderId="19" xfId="0" applyNumberFormat="1" applyFont="1" applyFill="1" applyBorder="1" applyAlignment="1">
      <alignment horizontal="center" vertical="center"/>
    </xf>
    <xf numFmtId="14" fontId="13" fillId="2" borderId="18" xfId="0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14" fontId="7" fillId="0" borderId="18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14" fontId="1" fillId="0" borderId="20" xfId="0" applyNumberFormat="1" applyFont="1" applyFill="1" applyBorder="1" applyAlignment="1">
      <alignment horizontal="center" vertical="center"/>
    </xf>
    <xf numFmtId="14" fontId="1" fillId="0" borderId="39" xfId="0" applyNumberFormat="1" applyFont="1" applyFill="1" applyBorder="1" applyAlignment="1">
      <alignment horizontal="center" vertical="center"/>
    </xf>
    <xf numFmtId="14" fontId="16" fillId="0" borderId="39" xfId="0" applyNumberFormat="1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14" fontId="13" fillId="0" borderId="18" xfId="0" applyNumberFormat="1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14" fontId="16" fillId="0" borderId="20" xfId="0" applyNumberFormat="1" applyFont="1" applyFill="1" applyBorder="1" applyAlignment="1">
      <alignment horizontal="center" vertical="center"/>
    </xf>
    <xf numFmtId="14" fontId="16" fillId="0" borderId="16" xfId="0" applyNumberFormat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14" fontId="19" fillId="0" borderId="18" xfId="0" applyNumberFormat="1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164" fontId="7" fillId="0" borderId="17" xfId="0" applyNumberFormat="1" applyFont="1" applyFill="1" applyBorder="1" applyAlignment="1">
      <alignment horizontal="center" vertical="center"/>
    </xf>
    <xf numFmtId="164" fontId="7" fillId="0" borderId="19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164" fontId="14" fillId="2" borderId="19" xfId="0" applyNumberFormat="1" applyFont="1" applyFill="1" applyBorder="1" applyAlignment="1">
      <alignment horizontal="center" vertical="center"/>
    </xf>
    <xf numFmtId="164" fontId="14" fillId="2" borderId="18" xfId="0" applyNumberFormat="1" applyFont="1" applyFill="1" applyBorder="1" applyAlignment="1">
      <alignment horizontal="center" vertical="center"/>
    </xf>
    <xf numFmtId="164" fontId="7" fillId="0" borderId="39" xfId="0" applyNumberFormat="1" applyFont="1" applyFill="1" applyBorder="1" applyAlignment="1">
      <alignment horizontal="center" vertical="center"/>
    </xf>
    <xf numFmtId="164" fontId="7" fillId="0" borderId="18" xfId="0" applyNumberFormat="1" applyFont="1" applyFill="1" applyBorder="1" applyAlignment="1">
      <alignment horizontal="center" vertical="center"/>
    </xf>
    <xf numFmtId="164" fontId="14" fillId="0" borderId="18" xfId="0" applyNumberFormat="1" applyFont="1" applyFill="1" applyBorder="1" applyAlignment="1">
      <alignment horizontal="center" vertical="center"/>
    </xf>
    <xf numFmtId="164" fontId="14" fillId="0" borderId="19" xfId="0" applyNumberFormat="1" applyFont="1" applyFill="1" applyBorder="1" applyAlignment="1">
      <alignment horizontal="center" vertical="center"/>
    </xf>
    <xf numFmtId="0" fontId="0" fillId="2" borderId="39" xfId="0" applyFont="1" applyFill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3" fillId="0" borderId="41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left" vertical="center" wrapText="1"/>
    </xf>
    <xf numFmtId="0" fontId="0" fillId="0" borderId="41" xfId="0" applyFont="1" applyFill="1" applyBorder="1" applyAlignment="1">
      <alignment horizontal="left" vertical="center" wrapText="1"/>
    </xf>
    <xf numFmtId="0" fontId="0" fillId="0" borderId="42" xfId="0" applyFont="1" applyFill="1" applyBorder="1" applyAlignment="1">
      <alignment horizontal="left" vertical="center" wrapText="1"/>
    </xf>
    <xf numFmtId="0" fontId="0" fillId="0" borderId="43" xfId="0" applyFont="1" applyFill="1" applyBorder="1" applyAlignment="1">
      <alignment horizontal="left" vertical="center" wrapText="1"/>
    </xf>
    <xf numFmtId="0" fontId="0" fillId="0" borderId="38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3" fillId="0" borderId="37" xfId="0" applyFont="1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5" fillId="0" borderId="37" xfId="0" applyFont="1" applyFill="1" applyBorder="1" applyAlignment="1">
      <alignment horizontal="left" vertical="center" wrapText="1"/>
    </xf>
    <xf numFmtId="0" fontId="15" fillId="0" borderId="37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</cellXfs>
  <cellStyles count="14">
    <cellStyle name="İzlenen Köprü" xfId="3" builtinId="9" hidden="1"/>
    <cellStyle name="İzlenen Köprü" xfId="4" builtinId="9" hidden="1"/>
    <cellStyle name="İzlenen Köprü" xfId="5" builtinId="9" hidden="1"/>
    <cellStyle name="İzlenen Köprü" xfId="6" builtinId="9" hidden="1"/>
    <cellStyle name="İzlenen Köprü" xfId="7" builtinId="9" hidden="1"/>
    <cellStyle name="İzlenen Köprü" xfId="8" builtinId="9" hidden="1"/>
    <cellStyle name="İzlenen Köprü" xfId="9" builtinId="9" hidden="1"/>
    <cellStyle name="İzlenen Köprü" xfId="10" builtinId="9" hidden="1"/>
    <cellStyle name="İzlenen Köprü" xfId="11" builtinId="9" hidden="1"/>
    <cellStyle name="İzlenen Köprü" xfId="12" builtinId="9" hidden="1"/>
    <cellStyle name="İzlenen Köprü" xfId="13" builtinId="9" hidden="1"/>
    <cellStyle name="Normal" xfId="0" builtinId="0"/>
    <cellStyle name="Normal 2" xfId="1" xr:uid="{00000000-0005-0000-0000-00000D000000}"/>
    <cellStyle name="ParaBirimi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279</xdr:row>
      <xdr:rowOff>0</xdr:rowOff>
    </xdr:from>
    <xdr:to>
      <xdr:col>8</xdr:col>
      <xdr:colOff>190500</xdr:colOff>
      <xdr:row>280</xdr:row>
      <xdr:rowOff>0</xdr:rowOff>
    </xdr:to>
    <xdr:pic>
      <xdr:nvPicPr>
        <xdr:cNvPr id="2" name="Resim 1" descr="/var/folders/4k/t56cz6d10y727tc2zhnkhrd80000gn/T/com.microsoft.Excel/WebArchiveCopyPasteTempFiles/png.png">
          <a:extLst>
            <a:ext uri="{FF2B5EF4-FFF2-40B4-BE49-F238E27FC236}">
              <a16:creationId xmlns:a16="http://schemas.microsoft.com/office/drawing/2014/main" id="{4DAECDFA-F0F6-0A45-B332-56A49CAE1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0" y="1470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L410"/>
  <sheetViews>
    <sheetView tabSelected="1" topLeftCell="C338" zoomScale="112" zoomScaleNormal="110" workbookViewId="0">
      <selection activeCell="K343" sqref="K343:K347"/>
    </sheetView>
  </sheetViews>
  <sheetFormatPr defaultColWidth="8.85546875" defaultRowHeight="15" customHeight="1"/>
  <cols>
    <col min="1" max="1" width="11.42578125" style="56" customWidth="1"/>
    <col min="2" max="2" width="20.85546875" style="76" customWidth="1"/>
    <col min="3" max="3" width="13.7109375" style="56" customWidth="1"/>
    <col min="4" max="4" width="25.140625" style="56" customWidth="1"/>
    <col min="5" max="5" width="13.42578125" style="57" customWidth="1"/>
    <col min="6" max="6" width="11.85546875" style="57" customWidth="1"/>
    <col min="7" max="7" width="16" style="58" customWidth="1"/>
    <col min="8" max="8" width="14.140625" style="58" customWidth="1"/>
    <col min="9" max="9" width="15.42578125" style="59" customWidth="1"/>
    <col min="10" max="10" width="13.7109375" style="60" customWidth="1"/>
    <col min="11" max="11" width="13.28515625" style="60" customWidth="1"/>
    <col min="12" max="12" width="29.85546875" style="61" customWidth="1"/>
    <col min="13" max="16384" width="8.85546875" style="31"/>
  </cols>
  <sheetData>
    <row r="1" spans="1:12" ht="15" customHeight="1" thickBot="1">
      <c r="A1" s="21" t="s">
        <v>38</v>
      </c>
      <c r="B1" s="75" t="s">
        <v>0</v>
      </c>
      <c r="C1" s="22" t="s">
        <v>7</v>
      </c>
      <c r="D1" s="23" t="s">
        <v>2</v>
      </c>
      <c r="E1" s="24" t="s">
        <v>4</v>
      </c>
      <c r="F1" s="25" t="s">
        <v>1</v>
      </c>
      <c r="G1" s="26" t="s">
        <v>3</v>
      </c>
      <c r="H1" s="27" t="s">
        <v>5</v>
      </c>
      <c r="I1" s="28" t="s">
        <v>105</v>
      </c>
      <c r="J1" s="29" t="s">
        <v>106</v>
      </c>
      <c r="K1" s="30" t="s">
        <v>104</v>
      </c>
      <c r="L1" s="2" t="s">
        <v>0</v>
      </c>
    </row>
    <row r="2" spans="1:12" ht="15" customHeight="1">
      <c r="A2" s="79" t="s">
        <v>89</v>
      </c>
      <c r="B2" s="203" t="s">
        <v>90</v>
      </c>
      <c r="C2" s="162" t="s">
        <v>8</v>
      </c>
      <c r="D2" s="134" t="s">
        <v>48</v>
      </c>
      <c r="E2" s="83">
        <v>42736</v>
      </c>
      <c r="F2" s="83">
        <v>43100</v>
      </c>
      <c r="G2" s="93">
        <v>69300</v>
      </c>
      <c r="H2" s="85">
        <v>12474</v>
      </c>
      <c r="I2" s="124" t="s">
        <v>107</v>
      </c>
      <c r="J2" s="100" t="s">
        <v>127</v>
      </c>
      <c r="K2" s="100" t="s">
        <v>96</v>
      </c>
      <c r="L2" s="77" t="s">
        <v>136</v>
      </c>
    </row>
    <row r="3" spans="1:12" ht="15" customHeight="1" thickBot="1">
      <c r="A3" s="80"/>
      <c r="B3" s="204"/>
      <c r="C3" s="99"/>
      <c r="D3" s="135"/>
      <c r="E3" s="92"/>
      <c r="F3" s="92"/>
      <c r="G3" s="95"/>
      <c r="H3" s="86"/>
      <c r="I3" s="125"/>
      <c r="J3" s="101"/>
      <c r="K3" s="101"/>
      <c r="L3" s="78"/>
    </row>
    <row r="4" spans="1:12" ht="15" customHeight="1">
      <c r="A4" s="79" t="s">
        <v>91</v>
      </c>
      <c r="B4" s="122" t="s">
        <v>92</v>
      </c>
      <c r="C4" s="77" t="s">
        <v>10</v>
      </c>
      <c r="D4" s="98" t="s">
        <v>43</v>
      </c>
      <c r="E4" s="83">
        <v>42736</v>
      </c>
      <c r="F4" s="83">
        <v>43100</v>
      </c>
      <c r="G4" s="93">
        <v>96000</v>
      </c>
      <c r="H4" s="85">
        <v>17280</v>
      </c>
      <c r="I4" s="124" t="s">
        <v>110</v>
      </c>
      <c r="J4" s="100" t="s">
        <v>111</v>
      </c>
      <c r="K4" s="100" t="s">
        <v>96</v>
      </c>
      <c r="L4" s="77" t="s">
        <v>133</v>
      </c>
    </row>
    <row r="5" spans="1:12" ht="15" customHeight="1" thickBot="1">
      <c r="A5" s="80"/>
      <c r="B5" s="123"/>
      <c r="C5" s="78"/>
      <c r="D5" s="99"/>
      <c r="E5" s="92"/>
      <c r="F5" s="92"/>
      <c r="G5" s="95"/>
      <c r="H5" s="86"/>
      <c r="I5" s="125"/>
      <c r="J5" s="101"/>
      <c r="K5" s="101"/>
      <c r="L5" s="78"/>
    </row>
    <row r="6" spans="1:12" ht="15" customHeight="1">
      <c r="A6" s="79" t="s">
        <v>139</v>
      </c>
      <c r="B6" s="81" t="s">
        <v>140</v>
      </c>
      <c r="C6" s="16" t="s">
        <v>10</v>
      </c>
      <c r="D6" s="1" t="s">
        <v>141</v>
      </c>
      <c r="E6" s="83">
        <v>42930</v>
      </c>
      <c r="F6" s="83">
        <v>42961</v>
      </c>
      <c r="G6" s="93">
        <v>79000</v>
      </c>
      <c r="H6" s="93">
        <f>G6/100*18</f>
        <v>14220</v>
      </c>
      <c r="I6" s="14" t="s">
        <v>130</v>
      </c>
      <c r="J6" s="12" t="s">
        <v>146</v>
      </c>
      <c r="K6" s="12" t="s">
        <v>96</v>
      </c>
      <c r="L6" s="77" t="s">
        <v>147</v>
      </c>
    </row>
    <row r="7" spans="1:12" ht="15" customHeight="1">
      <c r="A7" s="87"/>
      <c r="B7" s="195"/>
      <c r="C7" s="32" t="s">
        <v>8</v>
      </c>
      <c r="D7" s="18" t="s">
        <v>142</v>
      </c>
      <c r="E7" s="149"/>
      <c r="F7" s="149"/>
      <c r="G7" s="94"/>
      <c r="H7" s="94"/>
      <c r="I7" s="8" t="s">
        <v>130</v>
      </c>
      <c r="J7" s="20" t="s">
        <v>146</v>
      </c>
      <c r="K7" s="20" t="s">
        <v>96</v>
      </c>
      <c r="L7" s="97"/>
    </row>
    <row r="8" spans="1:12" ht="15" customHeight="1">
      <c r="A8" s="87"/>
      <c r="B8" s="195"/>
      <c r="C8" s="32" t="s">
        <v>12</v>
      </c>
      <c r="D8" s="18" t="s">
        <v>144</v>
      </c>
      <c r="E8" s="149"/>
      <c r="F8" s="149"/>
      <c r="G8" s="94"/>
      <c r="H8" s="94"/>
      <c r="I8" s="8" t="s">
        <v>130</v>
      </c>
      <c r="J8" s="20" t="s">
        <v>146</v>
      </c>
      <c r="K8" s="20" t="s">
        <v>96</v>
      </c>
      <c r="L8" s="97"/>
    </row>
    <row r="9" spans="1:12" ht="15" customHeight="1">
      <c r="A9" s="87"/>
      <c r="B9" s="195"/>
      <c r="C9" s="32" t="s">
        <v>26</v>
      </c>
      <c r="D9" s="18" t="s">
        <v>143</v>
      </c>
      <c r="E9" s="149"/>
      <c r="F9" s="149"/>
      <c r="G9" s="94"/>
      <c r="H9" s="94"/>
      <c r="I9" s="8" t="s">
        <v>130</v>
      </c>
      <c r="J9" s="20" t="s">
        <v>146</v>
      </c>
      <c r="K9" s="20" t="s">
        <v>96</v>
      </c>
      <c r="L9" s="97"/>
    </row>
    <row r="10" spans="1:12" ht="15" customHeight="1" thickBot="1">
      <c r="A10" s="80"/>
      <c r="B10" s="195"/>
      <c r="C10" s="32" t="s">
        <v>11</v>
      </c>
      <c r="D10" s="18" t="s">
        <v>145</v>
      </c>
      <c r="E10" s="149"/>
      <c r="F10" s="149"/>
      <c r="G10" s="94"/>
      <c r="H10" s="94"/>
      <c r="I10" s="15" t="s">
        <v>130</v>
      </c>
      <c r="J10" s="20" t="s">
        <v>146</v>
      </c>
      <c r="K10" s="20" t="s">
        <v>96</v>
      </c>
      <c r="L10" s="97"/>
    </row>
    <row r="11" spans="1:12" ht="15" customHeight="1">
      <c r="A11" s="188" t="s">
        <v>148</v>
      </c>
      <c r="B11" s="190" t="s">
        <v>149</v>
      </c>
      <c r="C11" s="198" t="s">
        <v>8</v>
      </c>
      <c r="D11" s="199" t="s">
        <v>22</v>
      </c>
      <c r="E11" s="185">
        <v>42948</v>
      </c>
      <c r="F11" s="185">
        <v>43008</v>
      </c>
      <c r="G11" s="207">
        <v>20000</v>
      </c>
      <c r="H11" s="207">
        <f>G11/100*18</f>
        <v>3600</v>
      </c>
      <c r="I11" s="209" t="s">
        <v>100</v>
      </c>
      <c r="J11" s="196" t="s">
        <v>108</v>
      </c>
      <c r="K11" s="196" t="s">
        <v>96</v>
      </c>
      <c r="L11" s="201" t="s">
        <v>150</v>
      </c>
    </row>
    <row r="12" spans="1:12" ht="15" customHeight="1" thickBot="1">
      <c r="A12" s="189"/>
      <c r="B12" s="191"/>
      <c r="C12" s="99"/>
      <c r="D12" s="200"/>
      <c r="E12" s="186"/>
      <c r="F12" s="187"/>
      <c r="G12" s="208"/>
      <c r="H12" s="208"/>
      <c r="I12" s="210"/>
      <c r="J12" s="197"/>
      <c r="K12" s="197"/>
      <c r="L12" s="202"/>
    </row>
    <row r="13" spans="1:12" ht="15" customHeight="1">
      <c r="A13" s="79" t="s">
        <v>151</v>
      </c>
      <c r="B13" s="126" t="s">
        <v>152</v>
      </c>
      <c r="C13" s="16" t="s">
        <v>8</v>
      </c>
      <c r="D13" s="5" t="s">
        <v>36</v>
      </c>
      <c r="E13" s="83">
        <v>42957</v>
      </c>
      <c r="F13" s="83">
        <v>43018</v>
      </c>
      <c r="G13" s="93">
        <v>6000</v>
      </c>
      <c r="H13" s="150">
        <v>1080</v>
      </c>
      <c r="I13" s="14" t="s">
        <v>100</v>
      </c>
      <c r="J13" s="12" t="s">
        <v>108</v>
      </c>
      <c r="K13" s="12" t="s">
        <v>96</v>
      </c>
      <c r="L13" s="77" t="s">
        <v>153</v>
      </c>
    </row>
    <row r="14" spans="1:12" ht="15" customHeight="1" thickBot="1">
      <c r="A14" s="80"/>
      <c r="B14" s="127"/>
      <c r="C14" s="17" t="s">
        <v>26</v>
      </c>
      <c r="D14" s="33" t="s">
        <v>37</v>
      </c>
      <c r="E14" s="92"/>
      <c r="F14" s="84"/>
      <c r="G14" s="95"/>
      <c r="H14" s="151"/>
      <c r="I14" s="15" t="s">
        <v>100</v>
      </c>
      <c r="J14" s="13" t="s">
        <v>108</v>
      </c>
      <c r="K14" s="13" t="s">
        <v>96</v>
      </c>
      <c r="L14" s="78"/>
    </row>
    <row r="15" spans="1:12" ht="15" customHeight="1">
      <c r="A15" s="79" t="s">
        <v>154</v>
      </c>
      <c r="B15" s="126" t="s">
        <v>160</v>
      </c>
      <c r="C15" s="98" t="s">
        <v>8</v>
      </c>
      <c r="D15" s="98" t="s">
        <v>155</v>
      </c>
      <c r="E15" s="83">
        <v>42979</v>
      </c>
      <c r="F15" s="83">
        <v>43008</v>
      </c>
      <c r="G15" s="93">
        <v>0</v>
      </c>
      <c r="H15" s="150">
        <v>0</v>
      </c>
      <c r="I15" s="124" t="s">
        <v>101</v>
      </c>
      <c r="J15" s="100" t="s">
        <v>116</v>
      </c>
      <c r="K15" s="100" t="s">
        <v>96</v>
      </c>
      <c r="L15" s="77" t="s">
        <v>156</v>
      </c>
    </row>
    <row r="16" spans="1:12" ht="15" customHeight="1" thickBot="1">
      <c r="A16" s="80"/>
      <c r="B16" s="127"/>
      <c r="C16" s="99"/>
      <c r="D16" s="99"/>
      <c r="E16" s="92"/>
      <c r="F16" s="84"/>
      <c r="G16" s="95"/>
      <c r="H16" s="151"/>
      <c r="I16" s="125"/>
      <c r="J16" s="101"/>
      <c r="K16" s="101"/>
      <c r="L16" s="78"/>
    </row>
    <row r="17" spans="1:12" ht="15" customHeight="1">
      <c r="A17" s="79" t="s">
        <v>157</v>
      </c>
      <c r="B17" s="126" t="s">
        <v>158</v>
      </c>
      <c r="C17" s="98" t="s">
        <v>8</v>
      </c>
      <c r="D17" s="98" t="s">
        <v>57</v>
      </c>
      <c r="E17" s="83">
        <v>42979</v>
      </c>
      <c r="F17" s="83">
        <v>43069</v>
      </c>
      <c r="G17" s="93">
        <v>7500</v>
      </c>
      <c r="H17" s="150">
        <v>1350</v>
      </c>
      <c r="I17" s="124" t="s">
        <v>100</v>
      </c>
      <c r="J17" s="100" t="s">
        <v>113</v>
      </c>
      <c r="K17" s="100" t="s">
        <v>96</v>
      </c>
      <c r="L17" s="77" t="s">
        <v>159</v>
      </c>
    </row>
    <row r="18" spans="1:12" ht="15" customHeight="1" thickBot="1">
      <c r="A18" s="80"/>
      <c r="B18" s="127"/>
      <c r="C18" s="99"/>
      <c r="D18" s="99"/>
      <c r="E18" s="92"/>
      <c r="F18" s="84"/>
      <c r="G18" s="95"/>
      <c r="H18" s="151"/>
      <c r="I18" s="125"/>
      <c r="J18" s="101"/>
      <c r="K18" s="101"/>
      <c r="L18" s="78"/>
    </row>
    <row r="19" spans="1:12" ht="15" customHeight="1">
      <c r="A19" s="79" t="s">
        <v>161</v>
      </c>
      <c r="B19" s="126" t="s">
        <v>162</v>
      </c>
      <c r="C19" s="98" t="s">
        <v>8</v>
      </c>
      <c r="D19" s="98" t="s">
        <v>71</v>
      </c>
      <c r="E19" s="83">
        <v>42979</v>
      </c>
      <c r="F19" s="83">
        <v>43165</v>
      </c>
      <c r="G19" s="93">
        <v>30000</v>
      </c>
      <c r="H19" s="150">
        <v>5400</v>
      </c>
      <c r="I19" s="124" t="s">
        <v>101</v>
      </c>
      <c r="J19" s="100" t="s">
        <v>116</v>
      </c>
      <c r="K19" s="100" t="s">
        <v>96</v>
      </c>
      <c r="L19" s="77" t="s">
        <v>163</v>
      </c>
    </row>
    <row r="20" spans="1:12" ht="15" customHeight="1" thickBot="1">
      <c r="A20" s="80"/>
      <c r="B20" s="127"/>
      <c r="C20" s="99"/>
      <c r="D20" s="99"/>
      <c r="E20" s="92"/>
      <c r="F20" s="84"/>
      <c r="G20" s="95"/>
      <c r="H20" s="151"/>
      <c r="I20" s="125"/>
      <c r="J20" s="101"/>
      <c r="K20" s="101"/>
      <c r="L20" s="78"/>
    </row>
    <row r="21" spans="1:12" ht="15" customHeight="1">
      <c r="A21" s="79" t="s">
        <v>164</v>
      </c>
      <c r="B21" s="81" t="s">
        <v>183</v>
      </c>
      <c r="C21" s="1" t="s">
        <v>10</v>
      </c>
      <c r="D21" s="1" t="s">
        <v>40</v>
      </c>
      <c r="E21" s="141">
        <v>42983</v>
      </c>
      <c r="F21" s="83">
        <v>43535</v>
      </c>
      <c r="G21" s="93">
        <v>440000</v>
      </c>
      <c r="H21" s="152">
        <f>G21/100*18</f>
        <v>79200</v>
      </c>
      <c r="I21" s="14" t="s">
        <v>100</v>
      </c>
      <c r="J21" s="12" t="s">
        <v>113</v>
      </c>
      <c r="K21" s="12" t="s">
        <v>96</v>
      </c>
      <c r="L21" s="218" t="s">
        <v>169</v>
      </c>
    </row>
    <row r="22" spans="1:12" ht="15" customHeight="1">
      <c r="A22" s="87"/>
      <c r="B22" s="195"/>
      <c r="C22" s="18" t="s">
        <v>10</v>
      </c>
      <c r="D22" s="18" t="s">
        <v>35</v>
      </c>
      <c r="E22" s="205"/>
      <c r="F22" s="149"/>
      <c r="G22" s="94"/>
      <c r="H22" s="206"/>
      <c r="I22" s="8" t="s">
        <v>100</v>
      </c>
      <c r="J22" s="20" t="s">
        <v>113</v>
      </c>
      <c r="K22" s="20" t="s">
        <v>96</v>
      </c>
      <c r="L22" s="139"/>
    </row>
    <row r="23" spans="1:12" ht="15" customHeight="1">
      <c r="A23" s="87"/>
      <c r="B23" s="195"/>
      <c r="C23" s="18" t="s">
        <v>12</v>
      </c>
      <c r="D23" s="18" t="s">
        <v>165</v>
      </c>
      <c r="E23" s="205"/>
      <c r="F23" s="149"/>
      <c r="G23" s="94"/>
      <c r="H23" s="206"/>
      <c r="I23" s="8" t="s">
        <v>100</v>
      </c>
      <c r="J23" s="20" t="s">
        <v>113</v>
      </c>
      <c r="K23" s="20" t="s">
        <v>96</v>
      </c>
      <c r="L23" s="139"/>
    </row>
    <row r="24" spans="1:12" ht="15" customHeight="1">
      <c r="A24" s="87"/>
      <c r="B24" s="195"/>
      <c r="C24" s="18" t="s">
        <v>12</v>
      </c>
      <c r="D24" s="18" t="s">
        <v>166</v>
      </c>
      <c r="E24" s="205"/>
      <c r="F24" s="149"/>
      <c r="G24" s="94"/>
      <c r="H24" s="206"/>
      <c r="I24" s="8" t="s">
        <v>124</v>
      </c>
      <c r="J24" s="20" t="s">
        <v>113</v>
      </c>
      <c r="K24" s="20" t="s">
        <v>168</v>
      </c>
      <c r="L24" s="139"/>
    </row>
    <row r="25" spans="1:12" ht="15" customHeight="1">
      <c r="A25" s="87"/>
      <c r="B25" s="195"/>
      <c r="C25" s="18" t="s">
        <v>12</v>
      </c>
      <c r="D25" s="18" t="s">
        <v>167</v>
      </c>
      <c r="E25" s="205"/>
      <c r="F25" s="149"/>
      <c r="G25" s="94"/>
      <c r="H25" s="206"/>
      <c r="I25" s="8" t="s">
        <v>124</v>
      </c>
      <c r="J25" s="20" t="s">
        <v>113</v>
      </c>
      <c r="K25" s="20" t="s">
        <v>168</v>
      </c>
      <c r="L25" s="139"/>
    </row>
    <row r="26" spans="1:12" ht="15" customHeight="1" thickBot="1">
      <c r="A26" s="80"/>
      <c r="B26" s="82"/>
      <c r="C26" s="19" t="s">
        <v>12</v>
      </c>
      <c r="D26" s="19" t="s">
        <v>170</v>
      </c>
      <c r="E26" s="142"/>
      <c r="F26" s="84"/>
      <c r="G26" s="95"/>
      <c r="H26" s="153"/>
      <c r="I26" s="15" t="s">
        <v>124</v>
      </c>
      <c r="J26" s="13" t="s">
        <v>113</v>
      </c>
      <c r="K26" s="13" t="s">
        <v>99</v>
      </c>
      <c r="L26" s="219"/>
    </row>
    <row r="27" spans="1:12" ht="15" customHeight="1">
      <c r="A27" s="79" t="s">
        <v>171</v>
      </c>
      <c r="B27" s="126" t="s">
        <v>172</v>
      </c>
      <c r="C27" s="98" t="s">
        <v>8</v>
      </c>
      <c r="D27" s="98" t="s">
        <v>23</v>
      </c>
      <c r="E27" s="83">
        <v>43003</v>
      </c>
      <c r="F27" s="83">
        <v>43100</v>
      </c>
      <c r="G27" s="93">
        <v>150000</v>
      </c>
      <c r="H27" s="150">
        <v>27000</v>
      </c>
      <c r="I27" s="124" t="s">
        <v>110</v>
      </c>
      <c r="J27" s="100" t="s">
        <v>111</v>
      </c>
      <c r="K27" s="100" t="s">
        <v>96</v>
      </c>
      <c r="L27" s="77" t="s">
        <v>173</v>
      </c>
    </row>
    <row r="28" spans="1:12" ht="15" customHeight="1" thickBot="1">
      <c r="A28" s="80"/>
      <c r="B28" s="127"/>
      <c r="C28" s="99"/>
      <c r="D28" s="99"/>
      <c r="E28" s="92"/>
      <c r="F28" s="84"/>
      <c r="G28" s="95"/>
      <c r="H28" s="151"/>
      <c r="I28" s="125"/>
      <c r="J28" s="101"/>
      <c r="K28" s="101"/>
      <c r="L28" s="78"/>
    </row>
    <row r="29" spans="1:12" ht="15" customHeight="1">
      <c r="A29" s="79" t="s">
        <v>174</v>
      </c>
      <c r="B29" s="126" t="s">
        <v>175</v>
      </c>
      <c r="C29" s="98" t="s">
        <v>26</v>
      </c>
      <c r="D29" s="98" t="s">
        <v>176</v>
      </c>
      <c r="E29" s="83">
        <v>43009</v>
      </c>
      <c r="F29" s="83">
        <v>43100</v>
      </c>
      <c r="G29" s="93">
        <v>15000</v>
      </c>
      <c r="H29" s="150">
        <v>2700</v>
      </c>
      <c r="I29" s="124" t="s">
        <v>177</v>
      </c>
      <c r="J29" s="100" t="s">
        <v>178</v>
      </c>
      <c r="K29" s="100" t="s">
        <v>96</v>
      </c>
      <c r="L29" s="77" t="s">
        <v>179</v>
      </c>
    </row>
    <row r="30" spans="1:12" ht="15" customHeight="1" thickBot="1">
      <c r="A30" s="80"/>
      <c r="B30" s="127"/>
      <c r="C30" s="99"/>
      <c r="D30" s="99"/>
      <c r="E30" s="92"/>
      <c r="F30" s="84"/>
      <c r="G30" s="95"/>
      <c r="H30" s="151"/>
      <c r="I30" s="125"/>
      <c r="J30" s="101"/>
      <c r="K30" s="101"/>
      <c r="L30" s="78"/>
    </row>
    <row r="31" spans="1:12" ht="15" customHeight="1">
      <c r="A31" s="79" t="s">
        <v>180</v>
      </c>
      <c r="B31" s="126" t="s">
        <v>160</v>
      </c>
      <c r="C31" s="98" t="s">
        <v>8</v>
      </c>
      <c r="D31" s="98" t="s">
        <v>155</v>
      </c>
      <c r="E31" s="83">
        <v>43000</v>
      </c>
      <c r="F31" s="83">
        <v>43034</v>
      </c>
      <c r="G31" s="93">
        <v>30000</v>
      </c>
      <c r="H31" s="150">
        <v>5400</v>
      </c>
      <c r="I31" s="124" t="s">
        <v>101</v>
      </c>
      <c r="J31" s="100" t="s">
        <v>116</v>
      </c>
      <c r="K31" s="100" t="s">
        <v>96</v>
      </c>
      <c r="L31" s="77" t="s">
        <v>156</v>
      </c>
    </row>
    <row r="32" spans="1:12" ht="15" customHeight="1" thickBot="1">
      <c r="A32" s="80"/>
      <c r="B32" s="127"/>
      <c r="C32" s="99"/>
      <c r="D32" s="99"/>
      <c r="E32" s="92"/>
      <c r="F32" s="84"/>
      <c r="G32" s="95"/>
      <c r="H32" s="151"/>
      <c r="I32" s="125"/>
      <c r="J32" s="101"/>
      <c r="K32" s="101"/>
      <c r="L32" s="78"/>
    </row>
    <row r="33" spans="1:12" ht="15" customHeight="1">
      <c r="A33" s="211" t="s">
        <v>181</v>
      </c>
      <c r="B33" s="214" t="s">
        <v>182</v>
      </c>
      <c r="C33" s="5" t="s">
        <v>10</v>
      </c>
      <c r="D33" s="5" t="s">
        <v>184</v>
      </c>
      <c r="E33" s="185">
        <v>43018</v>
      </c>
      <c r="F33" s="185">
        <v>43721</v>
      </c>
      <c r="G33" s="192">
        <v>450000</v>
      </c>
      <c r="H33" s="227">
        <v>81000</v>
      </c>
      <c r="I33" s="14" t="s">
        <v>101</v>
      </c>
      <c r="J33" s="12" t="s">
        <v>116</v>
      </c>
      <c r="K33" s="12" t="s">
        <v>96</v>
      </c>
      <c r="L33" s="77" t="s">
        <v>188</v>
      </c>
    </row>
    <row r="34" spans="1:12" ht="15" customHeight="1">
      <c r="A34" s="212"/>
      <c r="B34" s="215"/>
      <c r="C34" s="7" t="s">
        <v>8</v>
      </c>
      <c r="D34" s="7" t="s">
        <v>185</v>
      </c>
      <c r="E34" s="217"/>
      <c r="F34" s="217"/>
      <c r="G34" s="193"/>
      <c r="H34" s="228"/>
      <c r="I34" s="8" t="s">
        <v>101</v>
      </c>
      <c r="J34" s="20" t="s">
        <v>116</v>
      </c>
      <c r="K34" s="20" t="s">
        <v>96</v>
      </c>
      <c r="L34" s="97"/>
    </row>
    <row r="35" spans="1:12" ht="15" customHeight="1">
      <c r="A35" s="212"/>
      <c r="B35" s="215"/>
      <c r="C35" s="7" t="s">
        <v>12</v>
      </c>
      <c r="D35" s="7" t="s">
        <v>186</v>
      </c>
      <c r="E35" s="217"/>
      <c r="F35" s="217"/>
      <c r="G35" s="193"/>
      <c r="H35" s="228"/>
      <c r="I35" s="8" t="s">
        <v>101</v>
      </c>
      <c r="J35" s="20" t="s">
        <v>116</v>
      </c>
      <c r="K35" s="20" t="s">
        <v>96</v>
      </c>
      <c r="L35" s="97"/>
    </row>
    <row r="36" spans="1:12" ht="15" customHeight="1" thickBot="1">
      <c r="A36" s="213"/>
      <c r="B36" s="216"/>
      <c r="C36" s="9" t="s">
        <v>11</v>
      </c>
      <c r="D36" s="9" t="s">
        <v>187</v>
      </c>
      <c r="E36" s="187"/>
      <c r="F36" s="187"/>
      <c r="G36" s="194"/>
      <c r="H36" s="229"/>
      <c r="I36" s="15" t="s">
        <v>101</v>
      </c>
      <c r="J36" s="13" t="s">
        <v>116</v>
      </c>
      <c r="K36" s="13" t="s">
        <v>96</v>
      </c>
      <c r="L36" s="78"/>
    </row>
    <row r="37" spans="1:12" ht="15" customHeight="1">
      <c r="A37" s="79" t="s">
        <v>189</v>
      </c>
      <c r="B37" s="126" t="s">
        <v>190</v>
      </c>
      <c r="C37" s="160" t="s">
        <v>8</v>
      </c>
      <c r="D37" s="98" t="s">
        <v>81</v>
      </c>
      <c r="E37" s="83">
        <v>43040</v>
      </c>
      <c r="F37" s="83">
        <v>43342</v>
      </c>
      <c r="G37" s="93">
        <v>20000</v>
      </c>
      <c r="H37" s="150">
        <v>3600</v>
      </c>
      <c r="I37" s="124" t="s">
        <v>100</v>
      </c>
      <c r="J37" s="100" t="s">
        <v>120</v>
      </c>
      <c r="K37" s="100" t="s">
        <v>96</v>
      </c>
      <c r="L37" s="77" t="s">
        <v>191</v>
      </c>
    </row>
    <row r="38" spans="1:12" ht="15" customHeight="1" thickBot="1">
      <c r="A38" s="80"/>
      <c r="B38" s="127"/>
      <c r="C38" s="133"/>
      <c r="D38" s="99"/>
      <c r="E38" s="92"/>
      <c r="F38" s="84"/>
      <c r="G38" s="95"/>
      <c r="H38" s="151"/>
      <c r="I38" s="125"/>
      <c r="J38" s="101"/>
      <c r="K38" s="101"/>
      <c r="L38" s="78"/>
    </row>
    <row r="39" spans="1:12" ht="15" customHeight="1">
      <c r="A39" s="220" t="s">
        <v>192</v>
      </c>
      <c r="B39" s="223" t="s">
        <v>193</v>
      </c>
      <c r="C39" s="10" t="s">
        <v>8</v>
      </c>
      <c r="D39" s="10" t="s">
        <v>23</v>
      </c>
      <c r="E39" s="128">
        <v>42659</v>
      </c>
      <c r="F39" s="128">
        <v>43131</v>
      </c>
      <c r="G39" s="85">
        <v>72000</v>
      </c>
      <c r="H39" s="150">
        <v>12960</v>
      </c>
      <c r="I39" s="14" t="s">
        <v>110</v>
      </c>
      <c r="J39" s="12" t="s">
        <v>111</v>
      </c>
      <c r="K39" s="12" t="s">
        <v>96</v>
      </c>
      <c r="L39" s="77" t="s">
        <v>194</v>
      </c>
    </row>
    <row r="40" spans="1:12" ht="15" customHeight="1">
      <c r="A40" s="221"/>
      <c r="B40" s="224"/>
      <c r="C40" s="3" t="s">
        <v>8</v>
      </c>
      <c r="D40" s="18" t="s">
        <v>27</v>
      </c>
      <c r="E40" s="226"/>
      <c r="F40" s="226"/>
      <c r="G40" s="96"/>
      <c r="H40" s="230"/>
      <c r="I40" s="8" t="s">
        <v>110</v>
      </c>
      <c r="J40" s="20" t="s">
        <v>111</v>
      </c>
      <c r="K40" s="20" t="s">
        <v>96</v>
      </c>
      <c r="L40" s="97"/>
    </row>
    <row r="41" spans="1:12" ht="15" customHeight="1" thickBot="1">
      <c r="A41" s="222"/>
      <c r="B41" s="225"/>
      <c r="C41" s="11" t="s">
        <v>12</v>
      </c>
      <c r="D41" s="11" t="s">
        <v>28</v>
      </c>
      <c r="E41" s="129"/>
      <c r="F41" s="129"/>
      <c r="G41" s="86"/>
      <c r="H41" s="151"/>
      <c r="I41" s="15" t="s">
        <v>110</v>
      </c>
      <c r="J41" s="13" t="s">
        <v>111</v>
      </c>
      <c r="K41" s="13" t="s">
        <v>96</v>
      </c>
      <c r="L41" s="78"/>
    </row>
    <row r="42" spans="1:12" ht="15" customHeight="1">
      <c r="A42" s="79" t="s">
        <v>195</v>
      </c>
      <c r="B42" s="126" t="s">
        <v>196</v>
      </c>
      <c r="C42" s="98" t="s">
        <v>12</v>
      </c>
      <c r="D42" s="98" t="s">
        <v>45</v>
      </c>
      <c r="E42" s="83">
        <v>43029</v>
      </c>
      <c r="F42" s="83">
        <v>43100</v>
      </c>
      <c r="G42" s="93">
        <v>10000</v>
      </c>
      <c r="H42" s="150">
        <v>1620</v>
      </c>
      <c r="I42" s="124" t="s">
        <v>100</v>
      </c>
      <c r="J42" s="100" t="s">
        <v>120</v>
      </c>
      <c r="K42" s="100" t="s">
        <v>96</v>
      </c>
      <c r="L42" s="77" t="s">
        <v>197</v>
      </c>
    </row>
    <row r="43" spans="1:12" ht="15" customHeight="1" thickBot="1">
      <c r="A43" s="80"/>
      <c r="B43" s="127"/>
      <c r="C43" s="99"/>
      <c r="D43" s="99"/>
      <c r="E43" s="92"/>
      <c r="F43" s="84"/>
      <c r="G43" s="95"/>
      <c r="H43" s="151"/>
      <c r="I43" s="125"/>
      <c r="J43" s="101"/>
      <c r="K43" s="101"/>
      <c r="L43" s="78"/>
    </row>
    <row r="44" spans="1:12" ht="15" customHeight="1">
      <c r="A44" s="79" t="s">
        <v>198</v>
      </c>
      <c r="B44" s="122" t="s">
        <v>199</v>
      </c>
      <c r="C44" s="124" t="s">
        <v>12</v>
      </c>
      <c r="D44" s="98" t="s">
        <v>88</v>
      </c>
      <c r="E44" s="83">
        <v>43040</v>
      </c>
      <c r="F44" s="83">
        <v>43768</v>
      </c>
      <c r="G44" s="93">
        <v>124500</v>
      </c>
      <c r="H44" s="85">
        <v>22410</v>
      </c>
      <c r="I44" s="124" t="s">
        <v>110</v>
      </c>
      <c r="J44" s="100" t="s">
        <v>126</v>
      </c>
      <c r="K44" s="100" t="s">
        <v>96</v>
      </c>
      <c r="L44" s="77" t="s">
        <v>200</v>
      </c>
    </row>
    <row r="45" spans="1:12" ht="15" customHeight="1" thickBot="1">
      <c r="A45" s="80"/>
      <c r="B45" s="123"/>
      <c r="C45" s="125"/>
      <c r="D45" s="99"/>
      <c r="E45" s="92"/>
      <c r="F45" s="92"/>
      <c r="G45" s="95"/>
      <c r="H45" s="86"/>
      <c r="I45" s="125"/>
      <c r="J45" s="101"/>
      <c r="K45" s="101"/>
      <c r="L45" s="78"/>
    </row>
    <row r="46" spans="1:12" ht="15" customHeight="1">
      <c r="A46" s="79" t="s">
        <v>201</v>
      </c>
      <c r="B46" s="122" t="s">
        <v>202</v>
      </c>
      <c r="C46" s="14" t="s">
        <v>10</v>
      </c>
      <c r="D46" s="1" t="s">
        <v>70</v>
      </c>
      <c r="E46" s="83">
        <v>43040</v>
      </c>
      <c r="F46" s="83">
        <v>43098</v>
      </c>
      <c r="G46" s="93">
        <v>15000</v>
      </c>
      <c r="H46" s="85">
        <v>2700</v>
      </c>
      <c r="I46" s="124" t="s">
        <v>102</v>
      </c>
      <c r="J46" s="100" t="s">
        <v>129</v>
      </c>
      <c r="K46" s="100" t="s">
        <v>96</v>
      </c>
      <c r="L46" s="77" t="s">
        <v>203</v>
      </c>
    </row>
    <row r="47" spans="1:12" ht="15" customHeight="1" thickBot="1">
      <c r="A47" s="80"/>
      <c r="B47" s="123"/>
      <c r="C47" s="15" t="s">
        <v>11</v>
      </c>
      <c r="D47" s="19" t="s">
        <v>301</v>
      </c>
      <c r="E47" s="92"/>
      <c r="F47" s="92"/>
      <c r="G47" s="95"/>
      <c r="H47" s="86"/>
      <c r="I47" s="125"/>
      <c r="J47" s="101"/>
      <c r="K47" s="101"/>
      <c r="L47" s="78"/>
    </row>
    <row r="48" spans="1:12" ht="15" customHeight="1">
      <c r="A48" s="79" t="s">
        <v>204</v>
      </c>
      <c r="B48" s="122" t="s">
        <v>205</v>
      </c>
      <c r="C48" s="124" t="s">
        <v>10</v>
      </c>
      <c r="D48" s="98" t="s">
        <v>43</v>
      </c>
      <c r="E48" s="83">
        <v>43040</v>
      </c>
      <c r="F48" s="83">
        <v>43465</v>
      </c>
      <c r="G48" s="93">
        <v>77000</v>
      </c>
      <c r="H48" s="85">
        <v>13860</v>
      </c>
      <c r="I48" s="124" t="s">
        <v>110</v>
      </c>
      <c r="J48" s="100" t="s">
        <v>111</v>
      </c>
      <c r="K48" s="100" t="s">
        <v>99</v>
      </c>
      <c r="L48" s="77" t="s">
        <v>206</v>
      </c>
    </row>
    <row r="49" spans="1:12" ht="15" customHeight="1" thickBot="1">
      <c r="A49" s="80"/>
      <c r="B49" s="123"/>
      <c r="C49" s="125"/>
      <c r="D49" s="99"/>
      <c r="E49" s="92"/>
      <c r="F49" s="92"/>
      <c r="G49" s="95"/>
      <c r="H49" s="86"/>
      <c r="I49" s="125"/>
      <c r="J49" s="101"/>
      <c r="K49" s="101"/>
      <c r="L49" s="78"/>
    </row>
    <row r="50" spans="1:12" ht="15" customHeight="1">
      <c r="A50" s="79" t="s">
        <v>207</v>
      </c>
      <c r="B50" s="126" t="s">
        <v>208</v>
      </c>
      <c r="C50" s="1" t="s">
        <v>8</v>
      </c>
      <c r="D50" s="5" t="s">
        <v>46</v>
      </c>
      <c r="E50" s="83">
        <v>43040</v>
      </c>
      <c r="F50" s="83">
        <v>43312</v>
      </c>
      <c r="G50" s="93">
        <v>48000</v>
      </c>
      <c r="H50" s="150" t="s">
        <v>6</v>
      </c>
      <c r="I50" s="14" t="s">
        <v>124</v>
      </c>
      <c r="J50" s="12" t="s">
        <v>135</v>
      </c>
      <c r="K50" s="12" t="s">
        <v>134</v>
      </c>
      <c r="L50" s="77" t="s">
        <v>209</v>
      </c>
    </row>
    <row r="51" spans="1:12" ht="15" customHeight="1" thickBot="1">
      <c r="A51" s="80"/>
      <c r="B51" s="127"/>
      <c r="C51" s="19" t="s">
        <v>12</v>
      </c>
      <c r="D51" s="33" t="s">
        <v>78</v>
      </c>
      <c r="E51" s="92"/>
      <c r="F51" s="84"/>
      <c r="G51" s="95"/>
      <c r="H51" s="151"/>
      <c r="I51" s="15" t="s">
        <v>124</v>
      </c>
      <c r="J51" s="13" t="s">
        <v>111</v>
      </c>
      <c r="K51" s="13" t="s">
        <v>112</v>
      </c>
      <c r="L51" s="78"/>
    </row>
    <row r="52" spans="1:12" ht="15" customHeight="1">
      <c r="A52" s="79" t="s">
        <v>210</v>
      </c>
      <c r="B52" s="126" t="s">
        <v>211</v>
      </c>
      <c r="C52" s="98" t="s">
        <v>8</v>
      </c>
      <c r="D52" s="98" t="s">
        <v>57</v>
      </c>
      <c r="E52" s="83">
        <v>43054</v>
      </c>
      <c r="F52" s="83">
        <v>43190</v>
      </c>
      <c r="G52" s="93">
        <v>17000</v>
      </c>
      <c r="H52" s="150">
        <v>3060</v>
      </c>
      <c r="I52" s="124" t="s">
        <v>100</v>
      </c>
      <c r="J52" s="100" t="s">
        <v>113</v>
      </c>
      <c r="K52" s="100" t="s">
        <v>96</v>
      </c>
      <c r="L52" s="77" t="s">
        <v>212</v>
      </c>
    </row>
    <row r="53" spans="1:12" ht="15" customHeight="1" thickBot="1">
      <c r="A53" s="80"/>
      <c r="B53" s="127"/>
      <c r="C53" s="99"/>
      <c r="D53" s="99"/>
      <c r="E53" s="92"/>
      <c r="F53" s="84"/>
      <c r="G53" s="95"/>
      <c r="H53" s="151"/>
      <c r="I53" s="125"/>
      <c r="J53" s="101"/>
      <c r="K53" s="101"/>
      <c r="L53" s="78"/>
    </row>
    <row r="54" spans="1:12" ht="15" customHeight="1">
      <c r="A54" s="79" t="s">
        <v>213</v>
      </c>
      <c r="B54" s="126" t="s">
        <v>74</v>
      </c>
      <c r="C54" s="16" t="s">
        <v>10</v>
      </c>
      <c r="D54" s="5" t="s">
        <v>19</v>
      </c>
      <c r="E54" s="83">
        <v>43054</v>
      </c>
      <c r="F54" s="83">
        <v>43131</v>
      </c>
      <c r="G54" s="93">
        <v>56250</v>
      </c>
      <c r="H54" s="150">
        <v>10125</v>
      </c>
      <c r="I54" s="14" t="s">
        <v>101</v>
      </c>
      <c r="J54" s="12" t="s">
        <v>109</v>
      </c>
      <c r="K54" s="12" t="s">
        <v>96</v>
      </c>
      <c r="L54" s="77" t="s">
        <v>215</v>
      </c>
    </row>
    <row r="55" spans="1:12" ht="15" customHeight="1" thickBot="1">
      <c r="A55" s="80"/>
      <c r="B55" s="127"/>
      <c r="C55" s="17" t="s">
        <v>8</v>
      </c>
      <c r="D55" s="33" t="s">
        <v>214</v>
      </c>
      <c r="E55" s="92"/>
      <c r="F55" s="84"/>
      <c r="G55" s="95"/>
      <c r="H55" s="151"/>
      <c r="I55" s="15" t="s">
        <v>101</v>
      </c>
      <c r="J55" s="13" t="s">
        <v>109</v>
      </c>
      <c r="K55" s="13" t="s">
        <v>96</v>
      </c>
      <c r="L55" s="78"/>
    </row>
    <row r="56" spans="1:12" ht="15" customHeight="1">
      <c r="A56" s="79" t="s">
        <v>216</v>
      </c>
      <c r="B56" s="126" t="s">
        <v>217</v>
      </c>
      <c r="C56" s="98" t="s">
        <v>8</v>
      </c>
      <c r="D56" s="98" t="s">
        <v>218</v>
      </c>
      <c r="E56" s="83">
        <v>43066</v>
      </c>
      <c r="F56" s="83">
        <v>43220</v>
      </c>
      <c r="G56" s="93">
        <v>20000</v>
      </c>
      <c r="H56" s="150">
        <v>3600</v>
      </c>
      <c r="I56" s="124" t="s">
        <v>130</v>
      </c>
      <c r="J56" s="100" t="s">
        <v>219</v>
      </c>
      <c r="K56" s="100" t="s">
        <v>96</v>
      </c>
      <c r="L56" s="77" t="s">
        <v>220</v>
      </c>
    </row>
    <row r="57" spans="1:12" ht="15" customHeight="1" thickBot="1">
      <c r="A57" s="80"/>
      <c r="B57" s="127"/>
      <c r="C57" s="99"/>
      <c r="D57" s="99"/>
      <c r="E57" s="92"/>
      <c r="F57" s="84"/>
      <c r="G57" s="95"/>
      <c r="H57" s="151"/>
      <c r="I57" s="125"/>
      <c r="J57" s="101"/>
      <c r="K57" s="101"/>
      <c r="L57" s="78"/>
    </row>
    <row r="58" spans="1:12" ht="15" customHeight="1">
      <c r="A58" s="79" t="s">
        <v>221</v>
      </c>
      <c r="B58" s="126" t="s">
        <v>222</v>
      </c>
      <c r="C58" s="132" t="s">
        <v>10</v>
      </c>
      <c r="D58" s="134" t="s">
        <v>48</v>
      </c>
      <c r="E58" s="83">
        <v>43101</v>
      </c>
      <c r="F58" s="83">
        <v>43465</v>
      </c>
      <c r="G58" s="93">
        <v>84500</v>
      </c>
      <c r="H58" s="93">
        <v>15210</v>
      </c>
      <c r="I58" s="124" t="s">
        <v>107</v>
      </c>
      <c r="J58" s="100" t="s">
        <v>127</v>
      </c>
      <c r="K58" s="100" t="s">
        <v>96</v>
      </c>
      <c r="L58" s="77" t="s">
        <v>223</v>
      </c>
    </row>
    <row r="59" spans="1:12" ht="15" customHeight="1" thickBot="1">
      <c r="A59" s="80"/>
      <c r="B59" s="127"/>
      <c r="C59" s="133"/>
      <c r="D59" s="135"/>
      <c r="E59" s="92"/>
      <c r="F59" s="92"/>
      <c r="G59" s="95"/>
      <c r="H59" s="95"/>
      <c r="I59" s="125"/>
      <c r="J59" s="101"/>
      <c r="K59" s="101"/>
      <c r="L59" s="78"/>
    </row>
    <row r="60" spans="1:12" ht="15" customHeight="1">
      <c r="A60" s="79" t="s">
        <v>224</v>
      </c>
      <c r="B60" s="126" t="s">
        <v>226</v>
      </c>
      <c r="C60" s="162" t="s">
        <v>8</v>
      </c>
      <c r="D60" s="134" t="s">
        <v>227</v>
      </c>
      <c r="E60" s="83">
        <v>43069</v>
      </c>
      <c r="F60" s="83">
        <v>43190</v>
      </c>
      <c r="G60" s="93">
        <v>33333</v>
      </c>
      <c r="H60" s="93"/>
      <c r="I60" s="124" t="s">
        <v>124</v>
      </c>
      <c r="J60" s="100" t="s">
        <v>111</v>
      </c>
      <c r="K60" s="100" t="s">
        <v>125</v>
      </c>
      <c r="L60" s="179" t="s">
        <v>228</v>
      </c>
    </row>
    <row r="61" spans="1:12" ht="15" customHeight="1" thickBot="1">
      <c r="A61" s="80"/>
      <c r="B61" s="127"/>
      <c r="C61" s="99"/>
      <c r="D61" s="135"/>
      <c r="E61" s="92"/>
      <c r="F61" s="92"/>
      <c r="G61" s="95"/>
      <c r="H61" s="95"/>
      <c r="I61" s="125"/>
      <c r="J61" s="101"/>
      <c r="K61" s="101"/>
      <c r="L61" s="180"/>
    </row>
    <row r="62" spans="1:12" ht="15" customHeight="1">
      <c r="A62" s="79" t="s">
        <v>225</v>
      </c>
      <c r="B62" s="126" t="s">
        <v>229</v>
      </c>
      <c r="C62" s="132" t="s">
        <v>26</v>
      </c>
      <c r="D62" s="134" t="s">
        <v>230</v>
      </c>
      <c r="E62" s="83">
        <v>43070</v>
      </c>
      <c r="F62" s="83">
        <v>43434</v>
      </c>
      <c r="G62" s="93">
        <v>24000</v>
      </c>
      <c r="H62" s="93">
        <v>4320</v>
      </c>
      <c r="I62" s="231" t="s">
        <v>110</v>
      </c>
      <c r="J62" s="100" t="s">
        <v>126</v>
      </c>
      <c r="K62" s="100" t="s">
        <v>96</v>
      </c>
      <c r="L62" s="77" t="s">
        <v>231</v>
      </c>
    </row>
    <row r="63" spans="1:12" ht="15" customHeight="1" thickBot="1">
      <c r="A63" s="80"/>
      <c r="B63" s="127"/>
      <c r="C63" s="133"/>
      <c r="D63" s="135"/>
      <c r="E63" s="92"/>
      <c r="F63" s="92"/>
      <c r="G63" s="95"/>
      <c r="H63" s="95"/>
      <c r="I63" s="232"/>
      <c r="J63" s="101"/>
      <c r="K63" s="101"/>
      <c r="L63" s="78"/>
    </row>
    <row r="64" spans="1:12" ht="15" customHeight="1">
      <c r="A64" s="79" t="s">
        <v>232</v>
      </c>
      <c r="B64" s="88" t="s">
        <v>235</v>
      </c>
      <c r="C64" s="34" t="s">
        <v>10</v>
      </c>
      <c r="D64" s="1" t="s">
        <v>47</v>
      </c>
      <c r="E64" s="141">
        <v>43070</v>
      </c>
      <c r="F64" s="83">
        <v>43434</v>
      </c>
      <c r="G64" s="93">
        <v>58500</v>
      </c>
      <c r="H64" s="93">
        <v>10530</v>
      </c>
      <c r="I64" s="35" t="s">
        <v>101</v>
      </c>
      <c r="J64" s="12" t="s">
        <v>109</v>
      </c>
      <c r="K64" s="12" t="s">
        <v>96</v>
      </c>
      <c r="L64" s="77" t="s">
        <v>239</v>
      </c>
    </row>
    <row r="65" spans="1:12" ht="15" customHeight="1">
      <c r="A65" s="87"/>
      <c r="B65" s="89"/>
      <c r="C65" s="36" t="s">
        <v>8</v>
      </c>
      <c r="D65" s="37" t="s">
        <v>73</v>
      </c>
      <c r="E65" s="183"/>
      <c r="F65" s="91"/>
      <c r="G65" s="94"/>
      <c r="H65" s="94"/>
      <c r="I65" s="38" t="s">
        <v>101</v>
      </c>
      <c r="J65" s="20" t="s">
        <v>109</v>
      </c>
      <c r="K65" s="20" t="s">
        <v>96</v>
      </c>
      <c r="L65" s="97"/>
    </row>
    <row r="66" spans="1:12" ht="15" customHeight="1" thickBot="1">
      <c r="A66" s="80"/>
      <c r="B66" s="90"/>
      <c r="C66" s="39" t="s">
        <v>11</v>
      </c>
      <c r="D66" s="40" t="s">
        <v>256</v>
      </c>
      <c r="E66" s="184"/>
      <c r="F66" s="84"/>
      <c r="G66" s="95"/>
      <c r="H66" s="95"/>
      <c r="I66" s="41" t="s">
        <v>101</v>
      </c>
      <c r="J66" s="13" t="s">
        <v>109</v>
      </c>
      <c r="K66" s="13" t="s">
        <v>96</v>
      </c>
      <c r="L66" s="78"/>
    </row>
    <row r="67" spans="1:12" ht="15" customHeight="1">
      <c r="A67" s="79" t="s">
        <v>233</v>
      </c>
      <c r="B67" s="126" t="s">
        <v>236</v>
      </c>
      <c r="C67" s="1" t="s">
        <v>10</v>
      </c>
      <c r="D67" s="1" t="s">
        <v>47</v>
      </c>
      <c r="E67" s="141">
        <v>43070</v>
      </c>
      <c r="F67" s="83">
        <v>43434</v>
      </c>
      <c r="G67" s="93">
        <v>58500</v>
      </c>
      <c r="H67" s="93">
        <v>10530</v>
      </c>
      <c r="I67" s="35" t="s">
        <v>101</v>
      </c>
      <c r="J67" s="12" t="s">
        <v>109</v>
      </c>
      <c r="K67" s="12" t="s">
        <v>96</v>
      </c>
      <c r="L67" s="77" t="s">
        <v>240</v>
      </c>
    </row>
    <row r="68" spans="1:12" ht="15" customHeight="1">
      <c r="A68" s="87"/>
      <c r="B68" s="147"/>
      <c r="C68" s="18" t="s">
        <v>8</v>
      </c>
      <c r="D68" s="37" t="s">
        <v>73</v>
      </c>
      <c r="E68" s="183"/>
      <c r="F68" s="91"/>
      <c r="G68" s="94"/>
      <c r="H68" s="94"/>
      <c r="I68" s="38" t="s">
        <v>101</v>
      </c>
      <c r="J68" s="20" t="s">
        <v>109</v>
      </c>
      <c r="K68" s="20" t="s">
        <v>96</v>
      </c>
      <c r="L68" s="97"/>
    </row>
    <row r="69" spans="1:12" ht="15" customHeight="1" thickBot="1">
      <c r="A69" s="80"/>
      <c r="B69" s="127"/>
      <c r="C69" s="19" t="s">
        <v>9</v>
      </c>
      <c r="D69" s="40" t="s">
        <v>257</v>
      </c>
      <c r="E69" s="184"/>
      <c r="F69" s="84"/>
      <c r="G69" s="95"/>
      <c r="H69" s="95"/>
      <c r="I69" s="41" t="s">
        <v>101</v>
      </c>
      <c r="J69" s="13" t="s">
        <v>109</v>
      </c>
      <c r="K69" s="13" t="s">
        <v>96</v>
      </c>
      <c r="L69" s="78"/>
    </row>
    <row r="70" spans="1:12" ht="15" customHeight="1">
      <c r="A70" s="79" t="s">
        <v>234</v>
      </c>
      <c r="B70" s="126" t="s">
        <v>242</v>
      </c>
      <c r="C70" s="162" t="s">
        <v>8</v>
      </c>
      <c r="D70" s="134" t="s">
        <v>237</v>
      </c>
      <c r="E70" s="83">
        <v>43073</v>
      </c>
      <c r="F70" s="83">
        <v>43438</v>
      </c>
      <c r="G70" s="93">
        <v>48000</v>
      </c>
      <c r="H70" s="93">
        <v>8640</v>
      </c>
      <c r="I70" s="231" t="s">
        <v>238</v>
      </c>
      <c r="J70" s="100" t="s">
        <v>146</v>
      </c>
      <c r="K70" s="100" t="s">
        <v>96</v>
      </c>
      <c r="L70" s="77" t="s">
        <v>241</v>
      </c>
    </row>
    <row r="71" spans="1:12" ht="15" customHeight="1" thickBot="1">
      <c r="A71" s="80"/>
      <c r="B71" s="127"/>
      <c r="C71" s="99"/>
      <c r="D71" s="135"/>
      <c r="E71" s="92"/>
      <c r="F71" s="92"/>
      <c r="G71" s="95"/>
      <c r="H71" s="95"/>
      <c r="I71" s="232"/>
      <c r="J71" s="101"/>
      <c r="K71" s="101"/>
      <c r="L71" s="78"/>
    </row>
    <row r="72" spans="1:12" ht="15" customHeight="1">
      <c r="A72" s="79" t="s">
        <v>243</v>
      </c>
      <c r="B72" s="126" t="s">
        <v>244</v>
      </c>
      <c r="C72" s="162" t="s">
        <v>8</v>
      </c>
      <c r="D72" s="134" t="s">
        <v>237</v>
      </c>
      <c r="E72" s="83">
        <v>43084</v>
      </c>
      <c r="F72" s="83">
        <v>43438</v>
      </c>
      <c r="G72" s="93">
        <v>48000</v>
      </c>
      <c r="H72" s="93">
        <v>8640</v>
      </c>
      <c r="I72" s="124" t="s">
        <v>238</v>
      </c>
      <c r="J72" s="100" t="s">
        <v>146</v>
      </c>
      <c r="K72" s="100" t="s">
        <v>96</v>
      </c>
      <c r="L72" s="77" t="s">
        <v>245</v>
      </c>
    </row>
    <row r="73" spans="1:12" ht="15" customHeight="1" thickBot="1">
      <c r="A73" s="80"/>
      <c r="B73" s="127"/>
      <c r="C73" s="99"/>
      <c r="D73" s="135"/>
      <c r="E73" s="92"/>
      <c r="F73" s="92"/>
      <c r="G73" s="95"/>
      <c r="H73" s="95"/>
      <c r="I73" s="125"/>
      <c r="J73" s="101"/>
      <c r="K73" s="101"/>
      <c r="L73" s="78"/>
    </row>
    <row r="74" spans="1:12" ht="15" customHeight="1">
      <c r="A74" s="79" t="s">
        <v>246</v>
      </c>
      <c r="B74" s="122" t="s">
        <v>247</v>
      </c>
      <c r="C74" s="77" t="s">
        <v>8</v>
      </c>
      <c r="D74" s="98" t="s">
        <v>83</v>
      </c>
      <c r="E74" s="83">
        <v>43084</v>
      </c>
      <c r="F74" s="83">
        <v>43250</v>
      </c>
      <c r="G74" s="93">
        <v>42000</v>
      </c>
      <c r="H74" s="85">
        <v>7560</v>
      </c>
      <c r="I74" s="124" t="s">
        <v>100</v>
      </c>
      <c r="J74" s="100" t="s">
        <v>113</v>
      </c>
      <c r="K74" s="100" t="s">
        <v>96</v>
      </c>
      <c r="L74" s="77" t="s">
        <v>248</v>
      </c>
    </row>
    <row r="75" spans="1:12" ht="15" customHeight="1" thickBot="1">
      <c r="A75" s="80"/>
      <c r="B75" s="123"/>
      <c r="C75" s="78"/>
      <c r="D75" s="99"/>
      <c r="E75" s="92"/>
      <c r="F75" s="84"/>
      <c r="G75" s="95"/>
      <c r="H75" s="86"/>
      <c r="I75" s="125"/>
      <c r="J75" s="101"/>
      <c r="K75" s="101"/>
      <c r="L75" s="78"/>
    </row>
    <row r="76" spans="1:12" ht="15" customHeight="1">
      <c r="A76" s="79" t="s">
        <v>249</v>
      </c>
      <c r="B76" s="126" t="s">
        <v>250</v>
      </c>
      <c r="C76" s="162" t="s">
        <v>8</v>
      </c>
      <c r="D76" s="134" t="s">
        <v>227</v>
      </c>
      <c r="E76" s="83">
        <v>43084</v>
      </c>
      <c r="F76" s="83">
        <v>43190</v>
      </c>
      <c r="G76" s="93">
        <v>40000</v>
      </c>
      <c r="H76" s="93">
        <v>7200</v>
      </c>
      <c r="I76" s="124" t="s">
        <v>124</v>
      </c>
      <c r="J76" s="100" t="s">
        <v>111</v>
      </c>
      <c r="K76" s="100" t="s">
        <v>125</v>
      </c>
      <c r="L76" s="179" t="s">
        <v>251</v>
      </c>
    </row>
    <row r="77" spans="1:12" ht="15" customHeight="1" thickBot="1">
      <c r="A77" s="80"/>
      <c r="B77" s="127"/>
      <c r="C77" s="99"/>
      <c r="D77" s="135"/>
      <c r="E77" s="92"/>
      <c r="F77" s="92"/>
      <c r="G77" s="95"/>
      <c r="H77" s="95"/>
      <c r="I77" s="125"/>
      <c r="J77" s="101"/>
      <c r="K77" s="101"/>
      <c r="L77" s="180"/>
    </row>
    <row r="78" spans="1:12" ht="15" customHeight="1">
      <c r="A78" s="79" t="s">
        <v>252</v>
      </c>
      <c r="B78" s="122" t="s">
        <v>253</v>
      </c>
      <c r="C78" s="158" t="s">
        <v>10</v>
      </c>
      <c r="D78" s="162" t="s">
        <v>25</v>
      </c>
      <c r="E78" s="181">
        <v>43102</v>
      </c>
      <c r="F78" s="83">
        <v>43832</v>
      </c>
      <c r="G78" s="93">
        <v>0</v>
      </c>
      <c r="H78" s="85">
        <v>14400</v>
      </c>
      <c r="I78" s="124" t="s">
        <v>103</v>
      </c>
      <c r="J78" s="100" t="s">
        <v>118</v>
      </c>
      <c r="K78" s="100" t="s">
        <v>96</v>
      </c>
      <c r="L78" s="77" t="s">
        <v>254</v>
      </c>
    </row>
    <row r="79" spans="1:12" ht="15" customHeight="1" thickBot="1">
      <c r="A79" s="80"/>
      <c r="B79" s="123"/>
      <c r="C79" s="125"/>
      <c r="D79" s="99"/>
      <c r="E79" s="182"/>
      <c r="F79" s="84"/>
      <c r="G79" s="95"/>
      <c r="H79" s="86"/>
      <c r="I79" s="125"/>
      <c r="J79" s="101"/>
      <c r="K79" s="101"/>
      <c r="L79" s="78"/>
    </row>
    <row r="80" spans="1:12" ht="15" customHeight="1">
      <c r="A80" s="79" t="s">
        <v>255</v>
      </c>
      <c r="B80" s="122" t="s">
        <v>258</v>
      </c>
      <c r="C80" s="14" t="s">
        <v>10</v>
      </c>
      <c r="D80" s="1" t="s">
        <v>259</v>
      </c>
      <c r="E80" s="181">
        <v>43101</v>
      </c>
      <c r="F80" s="83">
        <v>43414</v>
      </c>
      <c r="G80" s="93">
        <v>60000</v>
      </c>
      <c r="H80" s="93">
        <f>G80/100*18</f>
        <v>10800</v>
      </c>
      <c r="I80" s="14" t="s">
        <v>262</v>
      </c>
      <c r="J80" s="14" t="s">
        <v>263</v>
      </c>
      <c r="K80" s="12" t="s">
        <v>264</v>
      </c>
      <c r="L80" s="77" t="s">
        <v>265</v>
      </c>
    </row>
    <row r="81" spans="1:12" ht="15" customHeight="1">
      <c r="A81" s="87"/>
      <c r="B81" s="233"/>
      <c r="C81" s="8" t="s">
        <v>8</v>
      </c>
      <c r="D81" s="18" t="s">
        <v>260</v>
      </c>
      <c r="E81" s="234"/>
      <c r="F81" s="91"/>
      <c r="G81" s="94"/>
      <c r="H81" s="94"/>
      <c r="I81" s="8" t="s">
        <v>110</v>
      </c>
      <c r="J81" s="8" t="s">
        <v>126</v>
      </c>
      <c r="K81" s="20" t="s">
        <v>96</v>
      </c>
      <c r="L81" s="97"/>
    </row>
    <row r="82" spans="1:12" ht="15" customHeight="1" thickBot="1">
      <c r="A82" s="80"/>
      <c r="B82" s="123"/>
      <c r="C82" s="15" t="s">
        <v>80</v>
      </c>
      <c r="D82" s="19" t="s">
        <v>261</v>
      </c>
      <c r="E82" s="182"/>
      <c r="F82" s="84"/>
      <c r="G82" s="95"/>
      <c r="H82" s="95"/>
      <c r="I82" s="15" t="s">
        <v>110</v>
      </c>
      <c r="J82" s="15" t="s">
        <v>117</v>
      </c>
      <c r="K82" s="13" t="s">
        <v>97</v>
      </c>
      <c r="L82" s="78"/>
    </row>
    <row r="83" spans="1:12" ht="15" customHeight="1">
      <c r="A83" s="79" t="s">
        <v>266</v>
      </c>
      <c r="B83" s="122" t="s">
        <v>267</v>
      </c>
      <c r="C83" s="124" t="s">
        <v>10</v>
      </c>
      <c r="D83" s="98" t="s">
        <v>43</v>
      </c>
      <c r="E83" s="83">
        <v>43101</v>
      </c>
      <c r="F83" s="83">
        <v>43465</v>
      </c>
      <c r="G83" s="93">
        <v>102000</v>
      </c>
      <c r="H83" s="85">
        <v>18360</v>
      </c>
      <c r="I83" s="124" t="s">
        <v>110</v>
      </c>
      <c r="J83" s="100" t="s">
        <v>273</v>
      </c>
      <c r="K83" s="100" t="s">
        <v>272</v>
      </c>
      <c r="L83" s="77" t="s">
        <v>268</v>
      </c>
    </row>
    <row r="84" spans="1:12" ht="15" customHeight="1" thickBot="1">
      <c r="A84" s="80"/>
      <c r="B84" s="123"/>
      <c r="C84" s="125"/>
      <c r="D84" s="99"/>
      <c r="E84" s="92"/>
      <c r="F84" s="92"/>
      <c r="G84" s="95"/>
      <c r="H84" s="86"/>
      <c r="I84" s="125"/>
      <c r="J84" s="101"/>
      <c r="K84" s="101"/>
      <c r="L84" s="78"/>
    </row>
    <row r="85" spans="1:12" ht="15" customHeight="1">
      <c r="A85" s="79" t="s">
        <v>269</v>
      </c>
      <c r="B85" s="122" t="s">
        <v>276</v>
      </c>
      <c r="C85" s="124" t="s">
        <v>12</v>
      </c>
      <c r="D85" s="98" t="s">
        <v>270</v>
      </c>
      <c r="E85" s="83">
        <v>43103</v>
      </c>
      <c r="F85" s="83">
        <v>43434</v>
      </c>
      <c r="G85" s="93">
        <v>33600</v>
      </c>
      <c r="H85" s="85">
        <v>6048</v>
      </c>
      <c r="I85" s="124" t="s">
        <v>110</v>
      </c>
      <c r="J85" s="100" t="s">
        <v>111</v>
      </c>
      <c r="K85" s="100" t="s">
        <v>96</v>
      </c>
      <c r="L85" s="77" t="s">
        <v>271</v>
      </c>
    </row>
    <row r="86" spans="1:12" ht="15" customHeight="1" thickBot="1">
      <c r="A86" s="80"/>
      <c r="B86" s="123"/>
      <c r="C86" s="125"/>
      <c r="D86" s="99"/>
      <c r="E86" s="92"/>
      <c r="F86" s="92"/>
      <c r="G86" s="95"/>
      <c r="H86" s="86"/>
      <c r="I86" s="125"/>
      <c r="J86" s="101"/>
      <c r="K86" s="101"/>
      <c r="L86" s="78"/>
    </row>
    <row r="87" spans="1:12" ht="15" customHeight="1">
      <c r="A87" s="79" t="s">
        <v>274</v>
      </c>
      <c r="B87" s="126" t="s">
        <v>425</v>
      </c>
      <c r="C87" s="160" t="s">
        <v>26</v>
      </c>
      <c r="D87" s="98" t="s">
        <v>176</v>
      </c>
      <c r="E87" s="83">
        <v>43101</v>
      </c>
      <c r="F87" s="83">
        <v>43465</v>
      </c>
      <c r="G87" s="93">
        <v>100000</v>
      </c>
      <c r="H87" s="150">
        <v>18000</v>
      </c>
      <c r="I87" s="124" t="s">
        <v>177</v>
      </c>
      <c r="J87" s="100" t="s">
        <v>178</v>
      </c>
      <c r="K87" s="100" t="s">
        <v>96</v>
      </c>
      <c r="L87" s="77" t="s">
        <v>275</v>
      </c>
    </row>
    <row r="88" spans="1:12" ht="15" customHeight="1" thickBot="1">
      <c r="A88" s="80"/>
      <c r="B88" s="127"/>
      <c r="C88" s="133"/>
      <c r="D88" s="99"/>
      <c r="E88" s="92"/>
      <c r="F88" s="84"/>
      <c r="G88" s="95"/>
      <c r="H88" s="151"/>
      <c r="I88" s="125"/>
      <c r="J88" s="101"/>
      <c r="K88" s="101"/>
      <c r="L88" s="78"/>
    </row>
    <row r="89" spans="1:12" ht="15" customHeight="1">
      <c r="A89" s="79" t="s">
        <v>277</v>
      </c>
      <c r="B89" s="122" t="s">
        <v>278</v>
      </c>
      <c r="C89" s="14" t="s">
        <v>10</v>
      </c>
      <c r="D89" s="1" t="s">
        <v>32</v>
      </c>
      <c r="E89" s="181">
        <v>43115</v>
      </c>
      <c r="F89" s="83">
        <v>43465</v>
      </c>
      <c r="G89" s="93">
        <v>80000</v>
      </c>
      <c r="H89" s="93">
        <f>G89/100*18</f>
        <v>14400</v>
      </c>
      <c r="I89" s="14" t="s">
        <v>100</v>
      </c>
      <c r="J89" s="14" t="s">
        <v>108</v>
      </c>
      <c r="K89" s="12" t="s">
        <v>96</v>
      </c>
      <c r="L89" s="77" t="s">
        <v>281</v>
      </c>
    </row>
    <row r="90" spans="1:12" ht="15" customHeight="1">
      <c r="A90" s="87"/>
      <c r="B90" s="233"/>
      <c r="C90" s="8" t="s">
        <v>8</v>
      </c>
      <c r="D90" s="18" t="s">
        <v>280</v>
      </c>
      <c r="E90" s="234"/>
      <c r="F90" s="91"/>
      <c r="G90" s="94"/>
      <c r="H90" s="94"/>
      <c r="I90" s="8" t="s">
        <v>100</v>
      </c>
      <c r="J90" s="8" t="s">
        <v>108</v>
      </c>
      <c r="K90" s="20" t="s">
        <v>96</v>
      </c>
      <c r="L90" s="97"/>
    </row>
    <row r="91" spans="1:12" ht="15" customHeight="1" thickBot="1">
      <c r="A91" s="80"/>
      <c r="B91" s="123"/>
      <c r="C91" s="15" t="s">
        <v>279</v>
      </c>
      <c r="D91" s="19" t="s">
        <v>20</v>
      </c>
      <c r="E91" s="182"/>
      <c r="F91" s="84"/>
      <c r="G91" s="95"/>
      <c r="H91" s="95"/>
      <c r="I91" s="15" t="s">
        <v>100</v>
      </c>
      <c r="J91" s="15" t="s">
        <v>108</v>
      </c>
      <c r="K91" s="13" t="s">
        <v>96</v>
      </c>
      <c r="L91" s="78"/>
    </row>
    <row r="92" spans="1:12" ht="15" customHeight="1">
      <c r="A92" s="79" t="s">
        <v>282</v>
      </c>
      <c r="B92" s="126" t="s">
        <v>283</v>
      </c>
      <c r="C92" s="16" t="s">
        <v>10</v>
      </c>
      <c r="D92" s="1" t="s">
        <v>284</v>
      </c>
      <c r="E92" s="141">
        <v>43132</v>
      </c>
      <c r="F92" s="83">
        <v>43189</v>
      </c>
      <c r="G92" s="93">
        <v>13000</v>
      </c>
      <c r="H92" s="152">
        <f>G92/100*18</f>
        <v>2340</v>
      </c>
      <c r="I92" s="14" t="s">
        <v>130</v>
      </c>
      <c r="J92" s="12" t="s">
        <v>146</v>
      </c>
      <c r="K92" s="12" t="s">
        <v>96</v>
      </c>
      <c r="L92" s="218" t="s">
        <v>287</v>
      </c>
    </row>
    <row r="93" spans="1:12" ht="15" customHeight="1">
      <c r="A93" s="87"/>
      <c r="B93" s="147"/>
      <c r="C93" s="32" t="s">
        <v>10</v>
      </c>
      <c r="D93" s="18" t="s">
        <v>141</v>
      </c>
      <c r="E93" s="205"/>
      <c r="F93" s="149"/>
      <c r="G93" s="94"/>
      <c r="H93" s="206"/>
      <c r="I93" s="8" t="s">
        <v>130</v>
      </c>
      <c r="J93" s="20" t="s">
        <v>146</v>
      </c>
      <c r="K93" s="20" t="s">
        <v>96</v>
      </c>
      <c r="L93" s="139"/>
    </row>
    <row r="94" spans="1:12" ht="15" customHeight="1">
      <c r="A94" s="87"/>
      <c r="B94" s="147"/>
      <c r="C94" s="32" t="s">
        <v>8</v>
      </c>
      <c r="D94" s="18" t="s">
        <v>285</v>
      </c>
      <c r="E94" s="205"/>
      <c r="F94" s="149"/>
      <c r="G94" s="94"/>
      <c r="H94" s="206"/>
      <c r="I94" s="8" t="s">
        <v>130</v>
      </c>
      <c r="J94" s="20" t="s">
        <v>146</v>
      </c>
      <c r="K94" s="20" t="s">
        <v>96</v>
      </c>
      <c r="L94" s="139"/>
    </row>
    <row r="95" spans="1:12" ht="15" customHeight="1">
      <c r="A95" s="87"/>
      <c r="B95" s="147"/>
      <c r="C95" s="32" t="s">
        <v>12</v>
      </c>
      <c r="D95" s="18" t="s">
        <v>286</v>
      </c>
      <c r="E95" s="205"/>
      <c r="F95" s="149"/>
      <c r="G95" s="94"/>
      <c r="H95" s="206"/>
      <c r="I95" s="8" t="s">
        <v>130</v>
      </c>
      <c r="J95" s="20" t="s">
        <v>146</v>
      </c>
      <c r="K95" s="20" t="s">
        <v>96</v>
      </c>
      <c r="L95" s="139"/>
    </row>
    <row r="96" spans="1:12" ht="15" customHeight="1">
      <c r="A96" s="87"/>
      <c r="B96" s="147"/>
      <c r="C96" s="32" t="s">
        <v>26</v>
      </c>
      <c r="D96" s="18" t="s">
        <v>143</v>
      </c>
      <c r="E96" s="205"/>
      <c r="F96" s="149"/>
      <c r="G96" s="94"/>
      <c r="H96" s="206"/>
      <c r="I96" s="8" t="s">
        <v>130</v>
      </c>
      <c r="J96" s="20" t="s">
        <v>146</v>
      </c>
      <c r="K96" s="20" t="s">
        <v>96</v>
      </c>
      <c r="L96" s="139"/>
    </row>
    <row r="97" spans="1:12" ht="15" customHeight="1" thickBot="1">
      <c r="A97" s="80"/>
      <c r="B97" s="127"/>
      <c r="C97" s="17" t="s">
        <v>26</v>
      </c>
      <c r="D97" s="19" t="s">
        <v>145</v>
      </c>
      <c r="E97" s="142"/>
      <c r="F97" s="84"/>
      <c r="G97" s="95"/>
      <c r="H97" s="153"/>
      <c r="I97" s="15" t="s">
        <v>130</v>
      </c>
      <c r="J97" s="13" t="s">
        <v>146</v>
      </c>
      <c r="K97" s="13" t="s">
        <v>96</v>
      </c>
      <c r="L97" s="219"/>
    </row>
    <row r="98" spans="1:12" ht="15" customHeight="1">
      <c r="A98" s="79" t="s">
        <v>288</v>
      </c>
      <c r="B98" s="122" t="s">
        <v>289</v>
      </c>
      <c r="C98" s="77" t="s">
        <v>12</v>
      </c>
      <c r="D98" s="98" t="s">
        <v>58</v>
      </c>
      <c r="E98" s="83">
        <v>43118</v>
      </c>
      <c r="F98" s="83">
        <v>43159</v>
      </c>
      <c r="G98" s="93">
        <v>20000</v>
      </c>
      <c r="H98" s="85">
        <v>3600</v>
      </c>
      <c r="I98" s="124" t="s">
        <v>110</v>
      </c>
      <c r="J98" s="100" t="s">
        <v>126</v>
      </c>
      <c r="K98" s="100" t="s">
        <v>96</v>
      </c>
      <c r="L98" s="77" t="s">
        <v>290</v>
      </c>
    </row>
    <row r="99" spans="1:12" ht="15" customHeight="1" thickBot="1">
      <c r="A99" s="80"/>
      <c r="B99" s="123"/>
      <c r="C99" s="78"/>
      <c r="D99" s="99"/>
      <c r="E99" s="92"/>
      <c r="F99" s="92"/>
      <c r="G99" s="95"/>
      <c r="H99" s="86"/>
      <c r="I99" s="125"/>
      <c r="J99" s="101"/>
      <c r="K99" s="101"/>
      <c r="L99" s="78"/>
    </row>
    <row r="100" spans="1:12" ht="15" customHeight="1">
      <c r="A100" s="79" t="s">
        <v>291</v>
      </c>
      <c r="B100" s="126" t="s">
        <v>310</v>
      </c>
      <c r="C100" s="160" t="s">
        <v>8</v>
      </c>
      <c r="D100" s="98" t="s">
        <v>46</v>
      </c>
      <c r="E100" s="83">
        <v>43132</v>
      </c>
      <c r="F100" s="83">
        <v>43373</v>
      </c>
      <c r="G100" s="93">
        <v>35000</v>
      </c>
      <c r="H100" s="150" t="s">
        <v>6</v>
      </c>
      <c r="I100" s="124" t="s">
        <v>124</v>
      </c>
      <c r="J100" s="100" t="s">
        <v>135</v>
      </c>
      <c r="K100" s="100" t="s">
        <v>134</v>
      </c>
      <c r="L100" s="77" t="s">
        <v>292</v>
      </c>
    </row>
    <row r="101" spans="1:12" ht="15" customHeight="1" thickBot="1">
      <c r="A101" s="80"/>
      <c r="B101" s="127"/>
      <c r="C101" s="132"/>
      <c r="D101" s="162"/>
      <c r="E101" s="92"/>
      <c r="F101" s="84"/>
      <c r="G101" s="95"/>
      <c r="H101" s="151"/>
      <c r="I101" s="158"/>
      <c r="J101" s="159"/>
      <c r="K101" s="159"/>
      <c r="L101" s="78"/>
    </row>
    <row r="102" spans="1:12" ht="15" customHeight="1">
      <c r="A102" s="79" t="s">
        <v>293</v>
      </c>
      <c r="B102" s="126" t="s">
        <v>296</v>
      </c>
      <c r="C102" s="42" t="s">
        <v>8</v>
      </c>
      <c r="D102" s="1" t="s">
        <v>65</v>
      </c>
      <c r="E102" s="83">
        <v>43132</v>
      </c>
      <c r="F102" s="83">
        <v>43435</v>
      </c>
      <c r="G102" s="176">
        <v>155000</v>
      </c>
      <c r="H102" s="176">
        <f>G102/100*18</f>
        <v>27900</v>
      </c>
      <c r="I102" s="14" t="s">
        <v>110</v>
      </c>
      <c r="J102" s="12" t="s">
        <v>114</v>
      </c>
      <c r="K102" s="12" t="s">
        <v>96</v>
      </c>
      <c r="L102" s="235" t="s">
        <v>295</v>
      </c>
    </row>
    <row r="103" spans="1:12" ht="15" customHeight="1">
      <c r="A103" s="87"/>
      <c r="B103" s="147"/>
      <c r="C103" s="43" t="s">
        <v>12</v>
      </c>
      <c r="D103" s="18" t="s">
        <v>60</v>
      </c>
      <c r="E103" s="91"/>
      <c r="F103" s="91"/>
      <c r="G103" s="177"/>
      <c r="H103" s="177"/>
      <c r="I103" s="8" t="s">
        <v>110</v>
      </c>
      <c r="J103" s="20" t="s">
        <v>114</v>
      </c>
      <c r="K103" s="20" t="s">
        <v>96</v>
      </c>
      <c r="L103" s="236"/>
    </row>
    <row r="104" spans="1:12" ht="15" customHeight="1">
      <c r="A104" s="87"/>
      <c r="B104" s="147"/>
      <c r="C104" s="43" t="s">
        <v>12</v>
      </c>
      <c r="D104" s="18" t="s">
        <v>59</v>
      </c>
      <c r="E104" s="91"/>
      <c r="F104" s="91"/>
      <c r="G104" s="177"/>
      <c r="H104" s="177"/>
      <c r="I104" s="8" t="s">
        <v>110</v>
      </c>
      <c r="J104" s="20" t="s">
        <v>114</v>
      </c>
      <c r="K104" s="20" t="s">
        <v>96</v>
      </c>
      <c r="L104" s="236"/>
    </row>
    <row r="105" spans="1:12" ht="15" customHeight="1" thickBot="1">
      <c r="A105" s="80"/>
      <c r="B105" s="127"/>
      <c r="C105" s="44" t="s">
        <v>26</v>
      </c>
      <c r="D105" s="19" t="s">
        <v>294</v>
      </c>
      <c r="E105" s="92"/>
      <c r="F105" s="92"/>
      <c r="G105" s="178"/>
      <c r="H105" s="178"/>
      <c r="I105" s="15" t="s">
        <v>110</v>
      </c>
      <c r="J105" s="13" t="s">
        <v>114</v>
      </c>
      <c r="K105" s="13" t="s">
        <v>96</v>
      </c>
      <c r="L105" s="237"/>
    </row>
    <row r="106" spans="1:12" ht="15" customHeight="1">
      <c r="A106" s="79" t="s">
        <v>297</v>
      </c>
      <c r="B106" s="126" t="s">
        <v>298</v>
      </c>
      <c r="C106" s="160" t="s">
        <v>10</v>
      </c>
      <c r="D106" s="98" t="s">
        <v>299</v>
      </c>
      <c r="E106" s="83">
        <v>43132</v>
      </c>
      <c r="F106" s="83">
        <v>43414</v>
      </c>
      <c r="G106" s="93">
        <v>80000</v>
      </c>
      <c r="H106" s="150">
        <f>G106/100*18</f>
        <v>14400</v>
      </c>
      <c r="I106" s="124" t="s">
        <v>110</v>
      </c>
      <c r="J106" s="100" t="s">
        <v>117</v>
      </c>
      <c r="K106" s="100" t="s">
        <v>96</v>
      </c>
      <c r="L106" s="77" t="s">
        <v>300</v>
      </c>
    </row>
    <row r="107" spans="1:12" ht="15" customHeight="1" thickBot="1">
      <c r="A107" s="80"/>
      <c r="B107" s="127"/>
      <c r="C107" s="133"/>
      <c r="D107" s="99"/>
      <c r="E107" s="92"/>
      <c r="F107" s="84"/>
      <c r="G107" s="95"/>
      <c r="H107" s="151"/>
      <c r="I107" s="125"/>
      <c r="J107" s="101"/>
      <c r="K107" s="101"/>
      <c r="L107" s="78"/>
    </row>
    <row r="108" spans="1:12" ht="15" customHeight="1">
      <c r="A108" s="79" t="s">
        <v>302</v>
      </c>
      <c r="B108" s="122" t="s">
        <v>303</v>
      </c>
      <c r="C108" s="158" t="s">
        <v>10</v>
      </c>
      <c r="D108" s="162" t="s">
        <v>25</v>
      </c>
      <c r="E108" s="181">
        <v>43143</v>
      </c>
      <c r="F108" s="83">
        <v>43738</v>
      </c>
      <c r="G108" s="93">
        <v>80000</v>
      </c>
      <c r="H108" s="85">
        <v>14400</v>
      </c>
      <c r="I108" s="124" t="s">
        <v>103</v>
      </c>
      <c r="J108" s="100" t="s">
        <v>118</v>
      </c>
      <c r="K108" s="100" t="s">
        <v>96</v>
      </c>
      <c r="L108" s="77" t="s">
        <v>304</v>
      </c>
    </row>
    <row r="109" spans="1:12" ht="15" customHeight="1" thickBot="1">
      <c r="A109" s="80"/>
      <c r="B109" s="123"/>
      <c r="C109" s="125"/>
      <c r="D109" s="99"/>
      <c r="E109" s="182"/>
      <c r="F109" s="84"/>
      <c r="G109" s="95"/>
      <c r="H109" s="86"/>
      <c r="I109" s="125"/>
      <c r="J109" s="101"/>
      <c r="K109" s="101"/>
      <c r="L109" s="78"/>
    </row>
    <row r="110" spans="1:12" ht="15" customHeight="1">
      <c r="A110" s="79" t="s">
        <v>307</v>
      </c>
      <c r="B110" s="126" t="s">
        <v>306</v>
      </c>
      <c r="C110" s="160" t="s">
        <v>8</v>
      </c>
      <c r="D110" s="98" t="s">
        <v>23</v>
      </c>
      <c r="E110" s="83">
        <v>43146</v>
      </c>
      <c r="F110" s="83">
        <v>43496</v>
      </c>
      <c r="G110" s="93">
        <v>30000</v>
      </c>
      <c r="H110" s="150">
        <v>5400</v>
      </c>
      <c r="I110" s="124" t="s">
        <v>110</v>
      </c>
      <c r="J110" s="100" t="s">
        <v>111</v>
      </c>
      <c r="K110" s="100" t="s">
        <v>96</v>
      </c>
      <c r="L110" s="77" t="s">
        <v>305</v>
      </c>
    </row>
    <row r="111" spans="1:12" ht="15" customHeight="1" thickBot="1">
      <c r="A111" s="80"/>
      <c r="B111" s="127"/>
      <c r="C111" s="133"/>
      <c r="D111" s="99"/>
      <c r="E111" s="92"/>
      <c r="F111" s="84"/>
      <c r="G111" s="95"/>
      <c r="H111" s="151"/>
      <c r="I111" s="125"/>
      <c r="J111" s="101"/>
      <c r="K111" s="101"/>
      <c r="L111" s="78"/>
    </row>
    <row r="112" spans="1:12" ht="15" customHeight="1">
      <c r="A112" s="79" t="s">
        <v>309</v>
      </c>
      <c r="B112" s="122" t="s">
        <v>308</v>
      </c>
      <c r="C112" s="124" t="s">
        <v>12</v>
      </c>
      <c r="D112" s="98" t="s">
        <v>58</v>
      </c>
      <c r="E112" s="83">
        <v>43149</v>
      </c>
      <c r="F112" s="83">
        <v>43462</v>
      </c>
      <c r="G112" s="93">
        <v>55000</v>
      </c>
      <c r="H112" s="85">
        <f>G112/100*18</f>
        <v>9900</v>
      </c>
      <c r="I112" s="124" t="s">
        <v>110</v>
      </c>
      <c r="J112" s="100" t="s">
        <v>126</v>
      </c>
      <c r="K112" s="100" t="s">
        <v>96</v>
      </c>
      <c r="L112" s="77" t="s">
        <v>311</v>
      </c>
    </row>
    <row r="113" spans="1:12" ht="15" customHeight="1" thickBot="1">
      <c r="A113" s="80"/>
      <c r="B113" s="123"/>
      <c r="C113" s="125"/>
      <c r="D113" s="99"/>
      <c r="E113" s="92"/>
      <c r="F113" s="92"/>
      <c r="G113" s="95"/>
      <c r="H113" s="86"/>
      <c r="I113" s="125"/>
      <c r="J113" s="101"/>
      <c r="K113" s="101"/>
      <c r="L113" s="78"/>
    </row>
    <row r="114" spans="1:12" ht="15" customHeight="1">
      <c r="A114" s="79" t="s">
        <v>312</v>
      </c>
      <c r="B114" s="122" t="s">
        <v>313</v>
      </c>
      <c r="C114" s="124" t="s">
        <v>8</v>
      </c>
      <c r="D114" s="98" t="s">
        <v>314</v>
      </c>
      <c r="E114" s="83">
        <v>43160</v>
      </c>
      <c r="F114" s="83">
        <v>43434</v>
      </c>
      <c r="G114" s="93">
        <v>25000</v>
      </c>
      <c r="H114" s="85">
        <f>G114/100*18</f>
        <v>4500</v>
      </c>
      <c r="I114" s="124" t="s">
        <v>107</v>
      </c>
      <c r="J114" s="100" t="s">
        <v>127</v>
      </c>
      <c r="K114" s="100" t="s">
        <v>96</v>
      </c>
      <c r="L114" s="77" t="s">
        <v>315</v>
      </c>
    </row>
    <row r="115" spans="1:12" ht="15" customHeight="1" thickBot="1">
      <c r="A115" s="80"/>
      <c r="B115" s="123"/>
      <c r="C115" s="125"/>
      <c r="D115" s="99"/>
      <c r="E115" s="92"/>
      <c r="F115" s="92"/>
      <c r="G115" s="95"/>
      <c r="H115" s="86"/>
      <c r="I115" s="125"/>
      <c r="J115" s="101"/>
      <c r="K115" s="101"/>
      <c r="L115" s="78"/>
    </row>
    <row r="116" spans="1:12" ht="15" customHeight="1">
      <c r="A116" s="79" t="s">
        <v>316</v>
      </c>
      <c r="B116" s="122" t="s">
        <v>317</v>
      </c>
      <c r="C116" s="124" t="s">
        <v>10</v>
      </c>
      <c r="D116" s="98" t="s">
        <v>84</v>
      </c>
      <c r="E116" s="83">
        <v>43160</v>
      </c>
      <c r="F116" s="83">
        <v>43342</v>
      </c>
      <c r="G116" s="93">
        <v>250000</v>
      </c>
      <c r="H116" s="85">
        <f>G116/100*18</f>
        <v>45000</v>
      </c>
      <c r="I116" s="124" t="s">
        <v>100</v>
      </c>
      <c r="J116" s="100" t="s">
        <v>113</v>
      </c>
      <c r="K116" s="100" t="s">
        <v>96</v>
      </c>
      <c r="L116" s="77" t="s">
        <v>318</v>
      </c>
    </row>
    <row r="117" spans="1:12" ht="15" customHeight="1" thickBot="1">
      <c r="A117" s="80"/>
      <c r="B117" s="123"/>
      <c r="C117" s="125"/>
      <c r="D117" s="99"/>
      <c r="E117" s="92"/>
      <c r="F117" s="92"/>
      <c r="G117" s="95"/>
      <c r="H117" s="86"/>
      <c r="I117" s="125"/>
      <c r="J117" s="101"/>
      <c r="K117" s="101"/>
      <c r="L117" s="78"/>
    </row>
    <row r="118" spans="1:12" ht="15" customHeight="1">
      <c r="A118" s="79" t="s">
        <v>319</v>
      </c>
      <c r="B118" s="122" t="s">
        <v>320</v>
      </c>
      <c r="C118" s="160" t="s">
        <v>8</v>
      </c>
      <c r="D118" s="98" t="s">
        <v>34</v>
      </c>
      <c r="E118" s="83">
        <v>43160</v>
      </c>
      <c r="F118" s="83">
        <v>43465</v>
      </c>
      <c r="G118" s="93">
        <v>40000</v>
      </c>
      <c r="H118" s="85">
        <v>7200</v>
      </c>
      <c r="I118" s="124" t="s">
        <v>110</v>
      </c>
      <c r="J118" s="100" t="s">
        <v>111</v>
      </c>
      <c r="K118" s="100" t="s">
        <v>96</v>
      </c>
      <c r="L118" s="77" t="s">
        <v>321</v>
      </c>
    </row>
    <row r="119" spans="1:12" ht="15" customHeight="1" thickBot="1">
      <c r="A119" s="80"/>
      <c r="B119" s="123"/>
      <c r="C119" s="133"/>
      <c r="D119" s="99"/>
      <c r="E119" s="92"/>
      <c r="F119" s="84"/>
      <c r="G119" s="95"/>
      <c r="H119" s="86"/>
      <c r="I119" s="125"/>
      <c r="J119" s="101"/>
      <c r="K119" s="101"/>
      <c r="L119" s="78"/>
    </row>
    <row r="120" spans="1:12" ht="15" customHeight="1">
      <c r="A120" s="79" t="s">
        <v>322</v>
      </c>
      <c r="B120" s="122" t="s">
        <v>323</v>
      </c>
      <c r="C120" s="14" t="s">
        <v>10</v>
      </c>
      <c r="D120" s="1" t="s">
        <v>39</v>
      </c>
      <c r="E120" s="181">
        <v>43179</v>
      </c>
      <c r="F120" s="83">
        <v>43539</v>
      </c>
      <c r="G120" s="93">
        <v>60000</v>
      </c>
      <c r="H120" s="93">
        <f>G120/100*18</f>
        <v>10800</v>
      </c>
      <c r="I120" s="14" t="s">
        <v>110</v>
      </c>
      <c r="J120" s="14" t="s">
        <v>114</v>
      </c>
      <c r="K120" s="12" t="s">
        <v>96</v>
      </c>
      <c r="L120" s="77" t="s">
        <v>327</v>
      </c>
    </row>
    <row r="121" spans="1:12" ht="15" customHeight="1">
      <c r="A121" s="87"/>
      <c r="B121" s="233"/>
      <c r="C121" s="8" t="s">
        <v>8</v>
      </c>
      <c r="D121" s="18" t="s">
        <v>325</v>
      </c>
      <c r="E121" s="234"/>
      <c r="F121" s="91"/>
      <c r="G121" s="94"/>
      <c r="H121" s="94"/>
      <c r="I121" s="8" t="s">
        <v>110</v>
      </c>
      <c r="J121" s="8" t="s">
        <v>114</v>
      </c>
      <c r="K121" s="20" t="s">
        <v>96</v>
      </c>
      <c r="L121" s="97"/>
    </row>
    <row r="122" spans="1:12" ht="15" customHeight="1" thickBot="1">
      <c r="A122" s="80"/>
      <c r="B122" s="233"/>
      <c r="C122" s="8" t="s">
        <v>324</v>
      </c>
      <c r="D122" s="18" t="s">
        <v>326</v>
      </c>
      <c r="E122" s="234"/>
      <c r="F122" s="149"/>
      <c r="G122" s="94"/>
      <c r="H122" s="94"/>
      <c r="I122" s="8" t="s">
        <v>110</v>
      </c>
      <c r="J122" s="8" t="s">
        <v>114</v>
      </c>
      <c r="K122" s="20" t="s">
        <v>96</v>
      </c>
      <c r="L122" s="97"/>
    </row>
    <row r="123" spans="1:12" ht="15" customHeight="1">
      <c r="A123" s="104" t="s">
        <v>328</v>
      </c>
      <c r="B123" s="106" t="s">
        <v>329</v>
      </c>
      <c r="C123" s="108" t="s">
        <v>10</v>
      </c>
      <c r="D123" s="98" t="s">
        <v>93</v>
      </c>
      <c r="E123" s="83">
        <v>43179</v>
      </c>
      <c r="F123" s="238">
        <v>43550</v>
      </c>
      <c r="G123" s="143">
        <v>52800</v>
      </c>
      <c r="H123" s="112">
        <f>G123/100*18</f>
        <v>9504</v>
      </c>
      <c r="I123" s="114" t="s">
        <v>103</v>
      </c>
      <c r="J123" s="116" t="s">
        <v>118</v>
      </c>
      <c r="K123" s="116" t="s">
        <v>96</v>
      </c>
      <c r="L123" s="138" t="s">
        <v>330</v>
      </c>
    </row>
    <row r="124" spans="1:12" ht="15" customHeight="1" thickBot="1">
      <c r="A124" s="105"/>
      <c r="B124" s="107"/>
      <c r="C124" s="175"/>
      <c r="D124" s="162"/>
      <c r="E124" s="149"/>
      <c r="F124" s="239"/>
      <c r="G124" s="240"/>
      <c r="H124" s="241"/>
      <c r="I124" s="164"/>
      <c r="J124" s="165"/>
      <c r="K124" s="165"/>
      <c r="L124" s="166"/>
    </row>
    <row r="125" spans="1:12" ht="15" customHeight="1">
      <c r="A125" s="79" t="s">
        <v>331</v>
      </c>
      <c r="B125" s="88" t="s">
        <v>336</v>
      </c>
      <c r="C125" s="45" t="s">
        <v>10</v>
      </c>
      <c r="D125" s="1" t="s">
        <v>41</v>
      </c>
      <c r="E125" s="83">
        <v>43179</v>
      </c>
      <c r="F125" s="83">
        <v>43465</v>
      </c>
      <c r="G125" s="167">
        <v>48000</v>
      </c>
      <c r="H125" s="167">
        <f>G125/100*18</f>
        <v>8640</v>
      </c>
      <c r="I125" s="14" t="s">
        <v>107</v>
      </c>
      <c r="J125" s="12" t="s">
        <v>121</v>
      </c>
      <c r="K125" s="12" t="s">
        <v>96</v>
      </c>
      <c r="L125" s="77" t="s">
        <v>341</v>
      </c>
    </row>
    <row r="126" spans="1:12" ht="15" customHeight="1">
      <c r="A126" s="87"/>
      <c r="B126" s="89"/>
      <c r="C126" s="46" t="s">
        <v>12</v>
      </c>
      <c r="D126" s="18" t="s">
        <v>337</v>
      </c>
      <c r="E126" s="91"/>
      <c r="F126" s="91"/>
      <c r="G126" s="157"/>
      <c r="H126" s="157"/>
      <c r="I126" s="8" t="s">
        <v>107</v>
      </c>
      <c r="J126" s="20" t="s">
        <v>121</v>
      </c>
      <c r="K126" s="20" t="s">
        <v>96</v>
      </c>
      <c r="L126" s="97"/>
    </row>
    <row r="127" spans="1:12" ht="15" customHeight="1">
      <c r="A127" s="87"/>
      <c r="B127" s="89"/>
      <c r="C127" s="7" t="s">
        <v>12</v>
      </c>
      <c r="D127" s="18" t="s">
        <v>338</v>
      </c>
      <c r="E127" s="91"/>
      <c r="F127" s="91"/>
      <c r="G127" s="157"/>
      <c r="H127" s="157"/>
      <c r="I127" s="8" t="s">
        <v>238</v>
      </c>
      <c r="J127" s="20" t="s">
        <v>339</v>
      </c>
      <c r="K127" s="20" t="s">
        <v>340</v>
      </c>
      <c r="L127" s="97"/>
    </row>
    <row r="128" spans="1:12" ht="15" customHeight="1">
      <c r="A128" s="87"/>
      <c r="B128" s="89"/>
      <c r="C128" s="7" t="s">
        <v>26</v>
      </c>
      <c r="D128" s="18" t="s">
        <v>42</v>
      </c>
      <c r="E128" s="91"/>
      <c r="F128" s="91"/>
      <c r="G128" s="157"/>
      <c r="H128" s="157"/>
      <c r="I128" s="8" t="s">
        <v>238</v>
      </c>
      <c r="J128" s="20" t="s">
        <v>121</v>
      </c>
      <c r="K128" s="20" t="s">
        <v>96</v>
      </c>
      <c r="L128" s="97"/>
    </row>
    <row r="129" spans="1:12" ht="15" customHeight="1">
      <c r="A129" s="87"/>
      <c r="B129" s="89"/>
      <c r="C129" s="7" t="s">
        <v>26</v>
      </c>
      <c r="D129" s="18" t="s">
        <v>424</v>
      </c>
      <c r="E129" s="91"/>
      <c r="F129" s="91"/>
      <c r="G129" s="157"/>
      <c r="H129" s="157"/>
      <c r="I129" s="8" t="s">
        <v>107</v>
      </c>
      <c r="J129" s="20" t="s">
        <v>121</v>
      </c>
      <c r="K129" s="20" t="s">
        <v>96</v>
      </c>
      <c r="L129" s="97"/>
    </row>
    <row r="130" spans="1:12" ht="15" customHeight="1" thickBot="1">
      <c r="A130" s="80"/>
      <c r="B130" s="90"/>
      <c r="C130" s="7" t="s">
        <v>26</v>
      </c>
      <c r="D130" s="18" t="s">
        <v>423</v>
      </c>
      <c r="E130" s="92"/>
      <c r="F130" s="92"/>
      <c r="G130" s="168"/>
      <c r="H130" s="168"/>
      <c r="I130" s="15" t="s">
        <v>107</v>
      </c>
      <c r="J130" s="13" t="s">
        <v>121</v>
      </c>
      <c r="K130" s="20" t="s">
        <v>96</v>
      </c>
      <c r="L130" s="78"/>
    </row>
    <row r="131" spans="1:12" ht="15" customHeight="1">
      <c r="A131" s="79" t="s">
        <v>342</v>
      </c>
      <c r="B131" s="126" t="s">
        <v>344</v>
      </c>
      <c r="C131" s="42" t="s">
        <v>12</v>
      </c>
      <c r="D131" s="1" t="s">
        <v>345</v>
      </c>
      <c r="E131" s="141">
        <v>43184</v>
      </c>
      <c r="F131" s="83">
        <v>43373</v>
      </c>
      <c r="G131" s="110">
        <v>40000</v>
      </c>
      <c r="H131" s="167">
        <f>G131/100*18</f>
        <v>7200</v>
      </c>
      <c r="I131" s="35" t="s">
        <v>100</v>
      </c>
      <c r="J131" s="14" t="s">
        <v>108</v>
      </c>
      <c r="K131" s="12" t="s">
        <v>96</v>
      </c>
      <c r="L131" s="77" t="s">
        <v>348</v>
      </c>
    </row>
    <row r="132" spans="1:12" ht="15" customHeight="1">
      <c r="A132" s="87"/>
      <c r="B132" s="147"/>
      <c r="C132" s="43" t="s">
        <v>12</v>
      </c>
      <c r="D132" s="18" t="s">
        <v>346</v>
      </c>
      <c r="E132" s="183"/>
      <c r="F132" s="91"/>
      <c r="G132" s="156"/>
      <c r="H132" s="157"/>
      <c r="I132" s="38" t="s">
        <v>124</v>
      </c>
      <c r="J132" s="8" t="s">
        <v>113</v>
      </c>
      <c r="K132" s="20" t="s">
        <v>347</v>
      </c>
      <c r="L132" s="97"/>
    </row>
    <row r="133" spans="1:12" ht="15" customHeight="1">
      <c r="A133" s="87"/>
      <c r="B133" s="147"/>
      <c r="C133" s="18" t="s">
        <v>12</v>
      </c>
      <c r="D133" s="18" t="s">
        <v>68</v>
      </c>
      <c r="E133" s="183"/>
      <c r="F133" s="91"/>
      <c r="G133" s="156"/>
      <c r="H133" s="157"/>
      <c r="I133" s="38" t="s">
        <v>100</v>
      </c>
      <c r="J133" s="8" t="s">
        <v>113</v>
      </c>
      <c r="K133" s="20" t="s">
        <v>96</v>
      </c>
      <c r="L133" s="97"/>
    </row>
    <row r="134" spans="1:12" ht="15" customHeight="1" thickBot="1">
      <c r="A134" s="80"/>
      <c r="B134" s="127"/>
      <c r="C134" s="19" t="s">
        <v>11</v>
      </c>
      <c r="D134" s="19" t="s">
        <v>82</v>
      </c>
      <c r="E134" s="184"/>
      <c r="F134" s="92"/>
      <c r="G134" s="111"/>
      <c r="H134" s="168"/>
      <c r="I134" s="41" t="s">
        <v>100</v>
      </c>
      <c r="J134" s="15" t="s">
        <v>113</v>
      </c>
      <c r="K134" s="13" t="s">
        <v>96</v>
      </c>
      <c r="L134" s="78"/>
    </row>
    <row r="135" spans="1:12" ht="15" customHeight="1">
      <c r="A135" s="104" t="s">
        <v>343</v>
      </c>
      <c r="B135" s="146" t="s">
        <v>332</v>
      </c>
      <c r="C135" s="108" t="s">
        <v>10</v>
      </c>
      <c r="D135" s="98" t="s">
        <v>333</v>
      </c>
      <c r="E135" s="83">
        <v>43179</v>
      </c>
      <c r="F135" s="83">
        <v>43465</v>
      </c>
      <c r="G135" s="143">
        <v>48000</v>
      </c>
      <c r="H135" s="112">
        <f>G135/100*18</f>
        <v>8640</v>
      </c>
      <c r="I135" s="114" t="s">
        <v>334</v>
      </c>
      <c r="J135" s="116" t="s">
        <v>138</v>
      </c>
      <c r="K135" s="116" t="s">
        <v>96</v>
      </c>
      <c r="L135" s="138" t="s">
        <v>335</v>
      </c>
    </row>
    <row r="136" spans="1:12" ht="15" customHeight="1" thickBot="1">
      <c r="A136" s="105"/>
      <c r="B136" s="148"/>
      <c r="C136" s="109"/>
      <c r="D136" s="99"/>
      <c r="E136" s="84"/>
      <c r="F136" s="84"/>
      <c r="G136" s="144"/>
      <c r="H136" s="113"/>
      <c r="I136" s="115"/>
      <c r="J136" s="117"/>
      <c r="K136" s="117"/>
      <c r="L136" s="140"/>
    </row>
    <row r="137" spans="1:12" ht="15" customHeight="1">
      <c r="A137" s="104" t="s">
        <v>349</v>
      </c>
      <c r="B137" s="146" t="s">
        <v>350</v>
      </c>
      <c r="C137" s="161" t="s">
        <v>8</v>
      </c>
      <c r="D137" s="162" t="s">
        <v>351</v>
      </c>
      <c r="E137" s="83">
        <v>43191</v>
      </c>
      <c r="F137" s="83">
        <v>43281</v>
      </c>
      <c r="G137" s="143">
        <v>30000</v>
      </c>
      <c r="H137" s="112">
        <f>G137/100*18</f>
        <v>5400</v>
      </c>
      <c r="I137" s="114" t="s">
        <v>100</v>
      </c>
      <c r="J137" s="116" t="s">
        <v>108</v>
      </c>
      <c r="K137" s="163" t="s">
        <v>96</v>
      </c>
      <c r="L137" s="138" t="s">
        <v>352</v>
      </c>
    </row>
    <row r="138" spans="1:12" ht="15" customHeight="1" thickBot="1">
      <c r="A138" s="105"/>
      <c r="B138" s="148"/>
      <c r="C138" s="109"/>
      <c r="D138" s="99"/>
      <c r="E138" s="84"/>
      <c r="F138" s="84"/>
      <c r="G138" s="144"/>
      <c r="H138" s="113"/>
      <c r="I138" s="115"/>
      <c r="J138" s="117"/>
      <c r="K138" s="117"/>
      <c r="L138" s="140"/>
    </row>
    <row r="139" spans="1:12" ht="15" customHeight="1">
      <c r="A139" s="104" t="s">
        <v>353</v>
      </c>
      <c r="B139" s="146" t="s">
        <v>354</v>
      </c>
      <c r="C139" s="161" t="s">
        <v>10</v>
      </c>
      <c r="D139" s="162" t="s">
        <v>355</v>
      </c>
      <c r="E139" s="83">
        <v>43191</v>
      </c>
      <c r="F139" s="83">
        <v>43707</v>
      </c>
      <c r="G139" s="143">
        <v>63000</v>
      </c>
      <c r="H139" s="112">
        <f>G139/100*18</f>
        <v>11340</v>
      </c>
      <c r="I139" s="114" t="s">
        <v>103</v>
      </c>
      <c r="J139" s="116" t="s">
        <v>128</v>
      </c>
      <c r="K139" s="163" t="s">
        <v>96</v>
      </c>
      <c r="L139" s="138" t="s">
        <v>356</v>
      </c>
    </row>
    <row r="140" spans="1:12" ht="15" customHeight="1" thickBot="1">
      <c r="A140" s="105"/>
      <c r="B140" s="148"/>
      <c r="C140" s="109"/>
      <c r="D140" s="99"/>
      <c r="E140" s="84"/>
      <c r="F140" s="84"/>
      <c r="G140" s="144"/>
      <c r="H140" s="113"/>
      <c r="I140" s="115"/>
      <c r="J140" s="117"/>
      <c r="K140" s="117"/>
      <c r="L140" s="140"/>
    </row>
    <row r="141" spans="1:12" ht="15" customHeight="1">
      <c r="A141" s="79" t="s">
        <v>357</v>
      </c>
      <c r="B141" s="126" t="s">
        <v>358</v>
      </c>
      <c r="C141" s="1" t="s">
        <v>10</v>
      </c>
      <c r="D141" s="1" t="s">
        <v>41</v>
      </c>
      <c r="E141" s="83">
        <v>43191</v>
      </c>
      <c r="F141" s="83">
        <v>43646</v>
      </c>
      <c r="G141" s="169">
        <v>20200</v>
      </c>
      <c r="H141" s="169">
        <f>G141/100*18</f>
        <v>3636</v>
      </c>
      <c r="I141" s="14" t="s">
        <v>107</v>
      </c>
      <c r="J141" s="12" t="s">
        <v>121</v>
      </c>
      <c r="K141" s="12" t="s">
        <v>96</v>
      </c>
      <c r="L141" s="77" t="s">
        <v>359</v>
      </c>
    </row>
    <row r="142" spans="1:12" ht="15" customHeight="1">
      <c r="A142" s="87"/>
      <c r="B142" s="147"/>
      <c r="C142" s="18" t="s">
        <v>12</v>
      </c>
      <c r="D142" s="18" t="s">
        <v>337</v>
      </c>
      <c r="E142" s="149"/>
      <c r="F142" s="149"/>
      <c r="G142" s="170"/>
      <c r="H142" s="170"/>
      <c r="I142" s="8" t="s">
        <v>107</v>
      </c>
      <c r="J142" s="20" t="s">
        <v>121</v>
      </c>
      <c r="K142" s="20" t="s">
        <v>96</v>
      </c>
      <c r="L142" s="97"/>
    </row>
    <row r="143" spans="1:12" ht="15" customHeight="1">
      <c r="A143" s="87"/>
      <c r="B143" s="147"/>
      <c r="C143" s="18" t="s">
        <v>26</v>
      </c>
      <c r="D143" s="18" t="s">
        <v>55</v>
      </c>
      <c r="E143" s="149"/>
      <c r="F143" s="149"/>
      <c r="G143" s="170"/>
      <c r="H143" s="170"/>
      <c r="I143" s="8" t="s">
        <v>101</v>
      </c>
      <c r="J143" s="20" t="s">
        <v>115</v>
      </c>
      <c r="K143" s="20" t="s">
        <v>96</v>
      </c>
      <c r="L143" s="97"/>
    </row>
    <row r="144" spans="1:12" ht="15" customHeight="1" thickBot="1">
      <c r="A144" s="80"/>
      <c r="B144" s="127"/>
      <c r="C144" s="19" t="s">
        <v>26</v>
      </c>
      <c r="D144" s="19" t="s">
        <v>42</v>
      </c>
      <c r="E144" s="84"/>
      <c r="F144" s="84"/>
      <c r="G144" s="171"/>
      <c r="H144" s="171"/>
      <c r="I144" s="15" t="s">
        <v>107</v>
      </c>
      <c r="J144" s="13" t="s">
        <v>121</v>
      </c>
      <c r="K144" s="13" t="s">
        <v>96</v>
      </c>
      <c r="L144" s="78"/>
    </row>
    <row r="145" spans="1:12" ht="15" customHeight="1">
      <c r="A145" s="79" t="s">
        <v>360</v>
      </c>
      <c r="B145" s="126" t="s">
        <v>361</v>
      </c>
      <c r="C145" s="16" t="s">
        <v>10</v>
      </c>
      <c r="D145" s="1" t="s">
        <v>32</v>
      </c>
      <c r="E145" s="83">
        <v>43191</v>
      </c>
      <c r="F145" s="83">
        <v>43250</v>
      </c>
      <c r="G145" s="172">
        <v>24500</v>
      </c>
      <c r="H145" s="169">
        <f>G145/100*18</f>
        <v>4410</v>
      </c>
      <c r="I145" s="14" t="s">
        <v>100</v>
      </c>
      <c r="J145" s="12" t="s">
        <v>108</v>
      </c>
      <c r="K145" s="12" t="s">
        <v>96</v>
      </c>
      <c r="L145" s="77" t="s">
        <v>362</v>
      </c>
    </row>
    <row r="146" spans="1:12" ht="15" customHeight="1">
      <c r="A146" s="87"/>
      <c r="B146" s="147"/>
      <c r="C146" s="32" t="s">
        <v>8</v>
      </c>
      <c r="D146" s="18" t="s">
        <v>280</v>
      </c>
      <c r="E146" s="149"/>
      <c r="F146" s="149"/>
      <c r="G146" s="173"/>
      <c r="H146" s="170"/>
      <c r="I146" s="8" t="s">
        <v>100</v>
      </c>
      <c r="J146" s="20" t="s">
        <v>108</v>
      </c>
      <c r="K146" s="20" t="s">
        <v>96</v>
      </c>
      <c r="L146" s="97"/>
    </row>
    <row r="147" spans="1:12" ht="15" customHeight="1">
      <c r="A147" s="87"/>
      <c r="B147" s="147"/>
      <c r="C147" s="32" t="s">
        <v>8</v>
      </c>
      <c r="D147" s="18" t="s">
        <v>21</v>
      </c>
      <c r="E147" s="149"/>
      <c r="F147" s="149"/>
      <c r="G147" s="173"/>
      <c r="H147" s="170"/>
      <c r="I147" s="8" t="s">
        <v>100</v>
      </c>
      <c r="J147" s="20" t="s">
        <v>108</v>
      </c>
      <c r="K147" s="20" t="s">
        <v>96</v>
      </c>
      <c r="L147" s="97"/>
    </row>
    <row r="148" spans="1:12" ht="15" customHeight="1" thickBot="1">
      <c r="A148" s="80"/>
      <c r="B148" s="127"/>
      <c r="C148" s="17" t="s">
        <v>26</v>
      </c>
      <c r="D148" s="19" t="s">
        <v>20</v>
      </c>
      <c r="E148" s="84"/>
      <c r="F148" s="84"/>
      <c r="G148" s="174"/>
      <c r="H148" s="171"/>
      <c r="I148" s="15" t="s">
        <v>100</v>
      </c>
      <c r="J148" s="13" t="s">
        <v>108</v>
      </c>
      <c r="K148" s="13" t="s">
        <v>96</v>
      </c>
      <c r="L148" s="78"/>
    </row>
    <row r="149" spans="1:12" ht="15" customHeight="1">
      <c r="A149" s="104" t="s">
        <v>368</v>
      </c>
      <c r="B149" s="146" t="s">
        <v>363</v>
      </c>
      <c r="C149" s="161" t="s">
        <v>12</v>
      </c>
      <c r="D149" s="162" t="s">
        <v>364</v>
      </c>
      <c r="E149" s="83">
        <v>43191</v>
      </c>
      <c r="F149" s="83">
        <v>43464</v>
      </c>
      <c r="G149" s="143">
        <v>20000</v>
      </c>
      <c r="H149" s="112">
        <f>G149/100*18</f>
        <v>3600</v>
      </c>
      <c r="I149" s="114" t="s">
        <v>365</v>
      </c>
      <c r="J149" s="116" t="s">
        <v>120</v>
      </c>
      <c r="K149" s="163" t="s">
        <v>366</v>
      </c>
      <c r="L149" s="138" t="s">
        <v>367</v>
      </c>
    </row>
    <row r="150" spans="1:12" ht="15" customHeight="1" thickBot="1">
      <c r="A150" s="105"/>
      <c r="B150" s="148"/>
      <c r="C150" s="109"/>
      <c r="D150" s="99"/>
      <c r="E150" s="84"/>
      <c r="F150" s="84"/>
      <c r="G150" s="144"/>
      <c r="H150" s="113"/>
      <c r="I150" s="115"/>
      <c r="J150" s="117"/>
      <c r="K150" s="117"/>
      <c r="L150" s="140"/>
    </row>
    <row r="151" spans="1:12" ht="15" customHeight="1">
      <c r="A151" s="104" t="s">
        <v>369</v>
      </c>
      <c r="B151" s="146" t="s">
        <v>370</v>
      </c>
      <c r="C151" s="161" t="s">
        <v>10</v>
      </c>
      <c r="D151" s="162" t="s">
        <v>371</v>
      </c>
      <c r="E151" s="83">
        <v>43191</v>
      </c>
      <c r="F151" s="83">
        <v>43311</v>
      </c>
      <c r="G151" s="143">
        <v>18000</v>
      </c>
      <c r="H151" s="112">
        <f>G151/100*18</f>
        <v>3240</v>
      </c>
      <c r="I151" s="114" t="s">
        <v>103</v>
      </c>
      <c r="J151" s="116" t="s">
        <v>118</v>
      </c>
      <c r="K151" s="163" t="s">
        <v>96</v>
      </c>
      <c r="L151" s="138" t="s">
        <v>372</v>
      </c>
    </row>
    <row r="152" spans="1:12" ht="15" customHeight="1" thickBot="1">
      <c r="A152" s="105"/>
      <c r="B152" s="148"/>
      <c r="C152" s="109"/>
      <c r="D152" s="99"/>
      <c r="E152" s="84"/>
      <c r="F152" s="84"/>
      <c r="G152" s="144"/>
      <c r="H152" s="113"/>
      <c r="I152" s="115"/>
      <c r="J152" s="117"/>
      <c r="K152" s="117"/>
      <c r="L152" s="140"/>
    </row>
    <row r="153" spans="1:12" ht="15" customHeight="1">
      <c r="A153" s="104" t="s">
        <v>373</v>
      </c>
      <c r="B153" s="146" t="s">
        <v>374</v>
      </c>
      <c r="C153" s="161" t="s">
        <v>12</v>
      </c>
      <c r="D153" s="162" t="s">
        <v>375</v>
      </c>
      <c r="E153" s="83">
        <v>43200</v>
      </c>
      <c r="F153" s="83">
        <v>43311</v>
      </c>
      <c r="G153" s="143">
        <v>10000</v>
      </c>
      <c r="H153" s="112">
        <f>G153/100*18</f>
        <v>1800</v>
      </c>
      <c r="I153" s="114" t="s">
        <v>131</v>
      </c>
      <c r="J153" s="116" t="s">
        <v>132</v>
      </c>
      <c r="K153" s="163" t="s">
        <v>96</v>
      </c>
      <c r="L153" s="138" t="s">
        <v>376</v>
      </c>
    </row>
    <row r="154" spans="1:12" ht="15" customHeight="1" thickBot="1">
      <c r="A154" s="105"/>
      <c r="B154" s="148"/>
      <c r="C154" s="109"/>
      <c r="D154" s="99"/>
      <c r="E154" s="84"/>
      <c r="F154" s="84"/>
      <c r="G154" s="144"/>
      <c r="H154" s="113"/>
      <c r="I154" s="115"/>
      <c r="J154" s="117"/>
      <c r="K154" s="117"/>
      <c r="L154" s="140"/>
    </row>
    <row r="155" spans="1:12" ht="15" customHeight="1">
      <c r="A155" s="104" t="s">
        <v>377</v>
      </c>
      <c r="B155" s="106" t="s">
        <v>389</v>
      </c>
      <c r="C155" s="108" t="s">
        <v>10</v>
      </c>
      <c r="D155" s="98" t="s">
        <v>93</v>
      </c>
      <c r="E155" s="83">
        <v>43200</v>
      </c>
      <c r="F155" s="83">
        <v>43414</v>
      </c>
      <c r="G155" s="143">
        <v>61600</v>
      </c>
      <c r="H155" s="112">
        <f>G155/100*18</f>
        <v>11088</v>
      </c>
      <c r="I155" s="114" t="s">
        <v>103</v>
      </c>
      <c r="J155" s="116" t="s">
        <v>118</v>
      </c>
      <c r="K155" s="116" t="s">
        <v>96</v>
      </c>
      <c r="L155" s="138" t="s">
        <v>378</v>
      </c>
    </row>
    <row r="156" spans="1:12" ht="15" customHeight="1" thickBot="1">
      <c r="A156" s="145"/>
      <c r="B156" s="242"/>
      <c r="C156" s="175"/>
      <c r="D156" s="162"/>
      <c r="E156" s="149"/>
      <c r="F156" s="149"/>
      <c r="G156" s="144"/>
      <c r="H156" s="113"/>
      <c r="I156" s="115"/>
      <c r="J156" s="117"/>
      <c r="K156" s="117"/>
      <c r="L156" s="140"/>
    </row>
    <row r="157" spans="1:12" ht="15" customHeight="1">
      <c r="A157" s="211" t="s">
        <v>379</v>
      </c>
      <c r="B157" s="244" t="s">
        <v>380</v>
      </c>
      <c r="C157" s="1" t="s">
        <v>10</v>
      </c>
      <c r="D157" s="1" t="s">
        <v>299</v>
      </c>
      <c r="E157" s="83">
        <v>43200</v>
      </c>
      <c r="F157" s="83">
        <v>43931</v>
      </c>
      <c r="G157" s="172">
        <v>864000</v>
      </c>
      <c r="H157" s="169" t="s">
        <v>6</v>
      </c>
      <c r="I157" s="14" t="s">
        <v>110</v>
      </c>
      <c r="J157" s="12" t="s">
        <v>117</v>
      </c>
      <c r="K157" s="12" t="s">
        <v>96</v>
      </c>
      <c r="L157" s="77" t="s">
        <v>387</v>
      </c>
    </row>
    <row r="158" spans="1:12" ht="15" customHeight="1">
      <c r="A158" s="212"/>
      <c r="B158" s="245"/>
      <c r="C158" s="18" t="s">
        <v>10</v>
      </c>
      <c r="D158" s="18" t="s">
        <v>381</v>
      </c>
      <c r="E158" s="149"/>
      <c r="F158" s="149"/>
      <c r="G158" s="173"/>
      <c r="H158" s="170"/>
      <c r="I158" s="8" t="s">
        <v>110</v>
      </c>
      <c r="J158" s="20" t="s">
        <v>117</v>
      </c>
      <c r="K158" s="20" t="s">
        <v>96</v>
      </c>
      <c r="L158" s="97"/>
    </row>
    <row r="159" spans="1:12" ht="15" customHeight="1">
      <c r="A159" s="212"/>
      <c r="B159" s="245"/>
      <c r="C159" s="18" t="s">
        <v>12</v>
      </c>
      <c r="D159" s="18" t="s">
        <v>382</v>
      </c>
      <c r="E159" s="149"/>
      <c r="F159" s="149"/>
      <c r="G159" s="173"/>
      <c r="H159" s="170"/>
      <c r="I159" s="8" t="s">
        <v>110</v>
      </c>
      <c r="J159" s="20" t="s">
        <v>117</v>
      </c>
      <c r="K159" s="20" t="s">
        <v>96</v>
      </c>
      <c r="L159" s="97"/>
    </row>
    <row r="160" spans="1:12" ht="15" customHeight="1">
      <c r="A160" s="212"/>
      <c r="B160" s="245"/>
      <c r="C160" s="18" t="s">
        <v>12</v>
      </c>
      <c r="D160" s="18" t="s">
        <v>383</v>
      </c>
      <c r="E160" s="149"/>
      <c r="F160" s="149"/>
      <c r="G160" s="173"/>
      <c r="H160" s="170"/>
      <c r="I160" s="8" t="s">
        <v>110</v>
      </c>
      <c r="J160" s="20" t="s">
        <v>117</v>
      </c>
      <c r="K160" s="20" t="s">
        <v>96</v>
      </c>
      <c r="L160" s="97"/>
    </row>
    <row r="161" spans="1:12" ht="15" customHeight="1">
      <c r="A161" s="212"/>
      <c r="B161" s="245"/>
      <c r="C161" s="18" t="s">
        <v>11</v>
      </c>
      <c r="D161" s="18" t="s">
        <v>384</v>
      </c>
      <c r="E161" s="149"/>
      <c r="F161" s="149"/>
      <c r="G161" s="173"/>
      <c r="H161" s="170"/>
      <c r="I161" s="8" t="s">
        <v>110</v>
      </c>
      <c r="J161" s="20" t="s">
        <v>117</v>
      </c>
      <c r="K161" s="20" t="s">
        <v>96</v>
      </c>
      <c r="L161" s="97"/>
    </row>
    <row r="162" spans="1:12" ht="15" customHeight="1">
      <c r="A162" s="212"/>
      <c r="B162" s="245"/>
      <c r="C162" s="18" t="s">
        <v>11</v>
      </c>
      <c r="D162" s="18" t="s">
        <v>385</v>
      </c>
      <c r="E162" s="149"/>
      <c r="F162" s="149"/>
      <c r="G162" s="173"/>
      <c r="H162" s="170"/>
      <c r="I162" s="8" t="s">
        <v>110</v>
      </c>
      <c r="J162" s="20" t="s">
        <v>117</v>
      </c>
      <c r="K162" s="20" t="s">
        <v>96</v>
      </c>
      <c r="L162" s="97"/>
    </row>
    <row r="163" spans="1:12" ht="15" customHeight="1">
      <c r="A163" s="243"/>
      <c r="B163" s="246"/>
      <c r="C163" s="18" t="s">
        <v>11</v>
      </c>
      <c r="D163" s="18" t="s">
        <v>435</v>
      </c>
      <c r="E163" s="149"/>
      <c r="F163" s="149"/>
      <c r="G163" s="173"/>
      <c r="H163" s="170"/>
      <c r="I163" s="8" t="s">
        <v>110</v>
      </c>
      <c r="J163" s="20" t="s">
        <v>117</v>
      </c>
      <c r="K163" s="20" t="s">
        <v>96</v>
      </c>
      <c r="L163" s="97"/>
    </row>
    <row r="164" spans="1:12" ht="15" customHeight="1" thickBot="1">
      <c r="A164" s="213"/>
      <c r="B164" s="247"/>
      <c r="C164" s="19" t="s">
        <v>11</v>
      </c>
      <c r="D164" s="19" t="s">
        <v>386</v>
      </c>
      <c r="E164" s="84"/>
      <c r="F164" s="84"/>
      <c r="G164" s="174"/>
      <c r="H164" s="171"/>
      <c r="I164" s="15" t="s">
        <v>110</v>
      </c>
      <c r="J164" s="13" t="s">
        <v>117</v>
      </c>
      <c r="K164" s="13" t="s">
        <v>96</v>
      </c>
      <c r="L164" s="78"/>
    </row>
    <row r="165" spans="1:12" ht="15" customHeight="1">
      <c r="A165" s="104" t="s">
        <v>388</v>
      </c>
      <c r="B165" s="106" t="s">
        <v>390</v>
      </c>
      <c r="C165" s="108" t="s">
        <v>10</v>
      </c>
      <c r="D165" s="98" t="s">
        <v>93</v>
      </c>
      <c r="E165" s="83">
        <v>43205</v>
      </c>
      <c r="F165" s="83">
        <v>43399</v>
      </c>
      <c r="G165" s="143">
        <v>178750</v>
      </c>
      <c r="H165" s="112">
        <f>G165/100*18</f>
        <v>32175</v>
      </c>
      <c r="I165" s="114" t="s">
        <v>103</v>
      </c>
      <c r="J165" s="116" t="s">
        <v>118</v>
      </c>
      <c r="K165" s="116" t="s">
        <v>96</v>
      </c>
      <c r="L165" s="138" t="s">
        <v>391</v>
      </c>
    </row>
    <row r="166" spans="1:12" ht="15" customHeight="1" thickBot="1">
      <c r="A166" s="145"/>
      <c r="B166" s="242"/>
      <c r="C166" s="175"/>
      <c r="D166" s="162"/>
      <c r="E166" s="149"/>
      <c r="F166" s="149"/>
      <c r="G166" s="144"/>
      <c r="H166" s="113"/>
      <c r="I166" s="115"/>
      <c r="J166" s="117"/>
      <c r="K166" s="117"/>
      <c r="L166" s="140"/>
    </row>
    <row r="167" spans="1:12" ht="15" customHeight="1">
      <c r="A167" s="104" t="s">
        <v>392</v>
      </c>
      <c r="B167" s="146" t="s">
        <v>393</v>
      </c>
      <c r="C167" s="47" t="s">
        <v>30</v>
      </c>
      <c r="D167" s="1" t="s">
        <v>85</v>
      </c>
      <c r="E167" s="83">
        <v>43205</v>
      </c>
      <c r="F167" s="83">
        <v>43267</v>
      </c>
      <c r="G167" s="143">
        <v>15000</v>
      </c>
      <c r="H167" s="112">
        <f>G167/100*18</f>
        <v>2700</v>
      </c>
      <c r="I167" s="114" t="s">
        <v>101</v>
      </c>
      <c r="J167" s="116" t="s">
        <v>116</v>
      </c>
      <c r="K167" s="116" t="s">
        <v>96</v>
      </c>
      <c r="L167" s="138" t="s">
        <v>394</v>
      </c>
    </row>
    <row r="168" spans="1:12" ht="15" customHeight="1">
      <c r="A168" s="145"/>
      <c r="B168" s="147"/>
      <c r="C168" s="43" t="s">
        <v>30</v>
      </c>
      <c r="D168" s="18" t="s">
        <v>86</v>
      </c>
      <c r="E168" s="91"/>
      <c r="F168" s="91"/>
      <c r="G168" s="240"/>
      <c r="H168" s="157"/>
      <c r="I168" s="158"/>
      <c r="J168" s="159"/>
      <c r="K168" s="159"/>
      <c r="L168" s="139"/>
    </row>
    <row r="169" spans="1:12" ht="15" customHeight="1" thickBot="1">
      <c r="A169" s="145"/>
      <c r="B169" s="248"/>
      <c r="C169" s="48" t="s">
        <v>11</v>
      </c>
      <c r="D169" s="18" t="s">
        <v>398</v>
      </c>
      <c r="E169" s="149"/>
      <c r="F169" s="149"/>
      <c r="G169" s="144"/>
      <c r="H169" s="113"/>
      <c r="I169" s="115"/>
      <c r="J169" s="117"/>
      <c r="K169" s="117"/>
      <c r="L169" s="140"/>
    </row>
    <row r="170" spans="1:12" ht="15" customHeight="1">
      <c r="A170" s="79" t="s">
        <v>395</v>
      </c>
      <c r="B170" s="106" t="s">
        <v>396</v>
      </c>
      <c r="C170" s="108" t="s">
        <v>10</v>
      </c>
      <c r="D170" s="98" t="s">
        <v>93</v>
      </c>
      <c r="E170" s="83">
        <v>43205</v>
      </c>
      <c r="F170" s="83">
        <v>43580</v>
      </c>
      <c r="G170" s="143">
        <v>53550</v>
      </c>
      <c r="H170" s="112">
        <f>G170/100*18</f>
        <v>9639</v>
      </c>
      <c r="I170" s="114" t="s">
        <v>103</v>
      </c>
      <c r="J170" s="116" t="s">
        <v>118</v>
      </c>
      <c r="K170" s="116" t="s">
        <v>96</v>
      </c>
      <c r="L170" s="138" t="s">
        <v>397</v>
      </c>
    </row>
    <row r="171" spans="1:12" ht="15" customHeight="1" thickBot="1">
      <c r="A171" s="80"/>
      <c r="B171" s="107"/>
      <c r="C171" s="109"/>
      <c r="D171" s="99"/>
      <c r="E171" s="84"/>
      <c r="F171" s="84"/>
      <c r="G171" s="144"/>
      <c r="H171" s="113"/>
      <c r="I171" s="115"/>
      <c r="J171" s="117"/>
      <c r="K171" s="117"/>
      <c r="L171" s="140"/>
    </row>
    <row r="172" spans="1:12" ht="15" customHeight="1">
      <c r="A172" s="79" t="s">
        <v>399</v>
      </c>
      <c r="B172" s="106" t="s">
        <v>400</v>
      </c>
      <c r="C172" s="42" t="s">
        <v>10</v>
      </c>
      <c r="D172" s="1" t="s">
        <v>39</v>
      </c>
      <c r="E172" s="141">
        <v>43205</v>
      </c>
      <c r="F172" s="83">
        <v>43264</v>
      </c>
      <c r="G172" s="143">
        <v>15000</v>
      </c>
      <c r="H172" s="112">
        <f>G172/100*18</f>
        <v>2700</v>
      </c>
      <c r="I172" s="49" t="s">
        <v>110</v>
      </c>
      <c r="J172" s="49" t="s">
        <v>114</v>
      </c>
      <c r="K172" s="50" t="s">
        <v>96</v>
      </c>
      <c r="L172" s="138" t="s">
        <v>401</v>
      </c>
    </row>
    <row r="173" spans="1:12" ht="15" customHeight="1" thickBot="1">
      <c r="A173" s="80"/>
      <c r="B173" s="107"/>
      <c r="C173" s="44" t="s">
        <v>8</v>
      </c>
      <c r="D173" s="19" t="s">
        <v>325</v>
      </c>
      <c r="E173" s="142"/>
      <c r="F173" s="84"/>
      <c r="G173" s="144"/>
      <c r="H173" s="113"/>
      <c r="I173" s="51" t="s">
        <v>110</v>
      </c>
      <c r="J173" s="51" t="s">
        <v>114</v>
      </c>
      <c r="K173" s="52" t="s">
        <v>96</v>
      </c>
      <c r="L173" s="140"/>
    </row>
    <row r="174" spans="1:12" ht="15" customHeight="1">
      <c r="A174" s="104" t="s">
        <v>402</v>
      </c>
      <c r="B174" s="146" t="s">
        <v>403</v>
      </c>
      <c r="C174" s="53" t="s">
        <v>10</v>
      </c>
      <c r="D174" s="18" t="s">
        <v>17</v>
      </c>
      <c r="E174" s="83">
        <v>43205</v>
      </c>
      <c r="F174" s="83">
        <v>43531</v>
      </c>
      <c r="G174" s="143">
        <v>235000</v>
      </c>
      <c r="H174" s="112" t="s">
        <v>6</v>
      </c>
      <c r="I174" s="54" t="s">
        <v>110</v>
      </c>
      <c r="J174" s="49" t="s">
        <v>111</v>
      </c>
      <c r="K174" s="50" t="s">
        <v>96</v>
      </c>
      <c r="L174" s="138" t="s">
        <v>404</v>
      </c>
    </row>
    <row r="175" spans="1:12" ht="15" customHeight="1">
      <c r="A175" s="145"/>
      <c r="B175" s="147"/>
      <c r="C175" s="43" t="s">
        <v>8</v>
      </c>
      <c r="D175" s="18" t="s">
        <v>34</v>
      </c>
      <c r="E175" s="91"/>
      <c r="F175" s="91"/>
      <c r="G175" s="240"/>
      <c r="H175" s="157"/>
      <c r="I175" s="8" t="s">
        <v>110</v>
      </c>
      <c r="J175" s="8" t="s">
        <v>111</v>
      </c>
      <c r="K175" s="20" t="s">
        <v>96</v>
      </c>
      <c r="L175" s="139"/>
    </row>
    <row r="176" spans="1:12" ht="15" customHeight="1">
      <c r="A176" s="145"/>
      <c r="B176" s="147"/>
      <c r="C176" s="43" t="s">
        <v>11</v>
      </c>
      <c r="D176" s="18" t="s">
        <v>405</v>
      </c>
      <c r="E176" s="91"/>
      <c r="F176" s="91"/>
      <c r="G176" s="240"/>
      <c r="H176" s="157"/>
      <c r="I176" s="8" t="s">
        <v>124</v>
      </c>
      <c r="J176" s="8" t="s">
        <v>111</v>
      </c>
      <c r="K176" s="20" t="s">
        <v>406</v>
      </c>
      <c r="L176" s="139"/>
    </row>
    <row r="177" spans="1:12" ht="15" customHeight="1" thickBot="1">
      <c r="A177" s="105"/>
      <c r="B177" s="148"/>
      <c r="C177" s="48" t="s">
        <v>12</v>
      </c>
      <c r="D177" s="19" t="s">
        <v>56</v>
      </c>
      <c r="E177" s="84"/>
      <c r="F177" s="84"/>
      <c r="G177" s="144"/>
      <c r="H177" s="113"/>
      <c r="I177" s="51" t="s">
        <v>110</v>
      </c>
      <c r="J177" s="51" t="s">
        <v>111</v>
      </c>
      <c r="K177" s="52" t="s">
        <v>96</v>
      </c>
      <c r="L177" s="140"/>
    </row>
    <row r="178" spans="1:12" ht="15" customHeight="1">
      <c r="A178" s="79" t="s">
        <v>407</v>
      </c>
      <c r="B178" s="122" t="s">
        <v>66</v>
      </c>
      <c r="C178" s="16" t="s">
        <v>10</v>
      </c>
      <c r="D178" s="5" t="s">
        <v>32</v>
      </c>
      <c r="E178" s="141">
        <v>43205</v>
      </c>
      <c r="F178" s="83">
        <v>43251</v>
      </c>
      <c r="G178" s="136">
        <v>55000</v>
      </c>
      <c r="H178" s="150">
        <f>G178/100*18</f>
        <v>9900</v>
      </c>
      <c r="I178" s="14" t="s">
        <v>100</v>
      </c>
      <c r="J178" s="12" t="s">
        <v>108</v>
      </c>
      <c r="K178" s="12" t="s">
        <v>96</v>
      </c>
      <c r="L178" s="77" t="s">
        <v>408</v>
      </c>
    </row>
    <row r="179" spans="1:12" ht="15" customHeight="1" thickBot="1">
      <c r="A179" s="80"/>
      <c r="B179" s="123"/>
      <c r="C179" s="17" t="s">
        <v>8</v>
      </c>
      <c r="D179" s="33" t="s">
        <v>65</v>
      </c>
      <c r="E179" s="142"/>
      <c r="F179" s="84"/>
      <c r="G179" s="137"/>
      <c r="H179" s="151"/>
      <c r="I179" s="15" t="s">
        <v>110</v>
      </c>
      <c r="J179" s="13" t="s">
        <v>114</v>
      </c>
      <c r="K179" s="13" t="s">
        <v>96</v>
      </c>
      <c r="L179" s="78"/>
    </row>
    <row r="180" spans="1:12" ht="15" customHeight="1">
      <c r="A180" s="79" t="s">
        <v>409</v>
      </c>
      <c r="B180" s="106" t="s">
        <v>410</v>
      </c>
      <c r="C180" s="108" t="s">
        <v>10</v>
      </c>
      <c r="D180" s="98" t="s">
        <v>411</v>
      </c>
      <c r="E180" s="83">
        <v>43235</v>
      </c>
      <c r="F180" s="83">
        <v>43327</v>
      </c>
      <c r="G180" s="143">
        <v>45000</v>
      </c>
      <c r="H180" s="112">
        <f>G180/100*18</f>
        <v>8100</v>
      </c>
      <c r="I180" s="114" t="s">
        <v>124</v>
      </c>
      <c r="J180" s="116" t="s">
        <v>109</v>
      </c>
      <c r="K180" s="116" t="s">
        <v>98</v>
      </c>
      <c r="L180" s="138" t="s">
        <v>412</v>
      </c>
    </row>
    <row r="181" spans="1:12" ht="15" customHeight="1" thickBot="1">
      <c r="A181" s="80"/>
      <c r="B181" s="107"/>
      <c r="C181" s="109"/>
      <c r="D181" s="99"/>
      <c r="E181" s="84"/>
      <c r="F181" s="84"/>
      <c r="G181" s="144"/>
      <c r="H181" s="113"/>
      <c r="I181" s="115"/>
      <c r="J181" s="117"/>
      <c r="K181" s="117"/>
      <c r="L181" s="140"/>
    </row>
    <row r="182" spans="1:12" ht="15" customHeight="1">
      <c r="A182" s="79" t="s">
        <v>413</v>
      </c>
      <c r="B182" s="106" t="s">
        <v>414</v>
      </c>
      <c r="C182" s="108" t="s">
        <v>12</v>
      </c>
      <c r="D182" s="98" t="s">
        <v>415</v>
      </c>
      <c r="E182" s="83">
        <v>43221</v>
      </c>
      <c r="F182" s="83">
        <v>43585</v>
      </c>
      <c r="G182" s="143">
        <v>40800</v>
      </c>
      <c r="H182" s="112">
        <f>G182/100*18</f>
        <v>7344</v>
      </c>
      <c r="I182" s="114" t="s">
        <v>124</v>
      </c>
      <c r="J182" s="116" t="s">
        <v>416</v>
      </c>
      <c r="K182" s="116" t="s">
        <v>417</v>
      </c>
      <c r="L182" s="138" t="s">
        <v>418</v>
      </c>
    </row>
    <row r="183" spans="1:12" ht="15" customHeight="1" thickBot="1">
      <c r="A183" s="80"/>
      <c r="B183" s="107"/>
      <c r="C183" s="109"/>
      <c r="D183" s="99"/>
      <c r="E183" s="84"/>
      <c r="F183" s="84"/>
      <c r="G183" s="144"/>
      <c r="H183" s="113"/>
      <c r="I183" s="115"/>
      <c r="J183" s="117"/>
      <c r="K183" s="117"/>
      <c r="L183" s="140"/>
    </row>
    <row r="184" spans="1:12" ht="15" customHeight="1">
      <c r="A184" s="79" t="s">
        <v>419</v>
      </c>
      <c r="B184" s="106" t="s">
        <v>420</v>
      </c>
      <c r="C184" s="108" t="s">
        <v>30</v>
      </c>
      <c r="D184" s="98" t="s">
        <v>421</v>
      </c>
      <c r="E184" s="83">
        <v>43222</v>
      </c>
      <c r="F184" s="83">
        <v>43556</v>
      </c>
      <c r="G184" s="143">
        <v>44000</v>
      </c>
      <c r="H184" s="112">
        <f>G184/100*18</f>
        <v>7920</v>
      </c>
      <c r="I184" s="114" t="s">
        <v>100</v>
      </c>
      <c r="J184" s="116" t="s">
        <v>113</v>
      </c>
      <c r="K184" s="116" t="s">
        <v>96</v>
      </c>
      <c r="L184" s="138" t="s">
        <v>422</v>
      </c>
    </row>
    <row r="185" spans="1:12" ht="15" customHeight="1" thickBot="1">
      <c r="A185" s="80"/>
      <c r="B185" s="107"/>
      <c r="C185" s="109"/>
      <c r="D185" s="99"/>
      <c r="E185" s="84"/>
      <c r="F185" s="84"/>
      <c r="G185" s="144"/>
      <c r="H185" s="113"/>
      <c r="I185" s="115"/>
      <c r="J185" s="117"/>
      <c r="K185" s="117"/>
      <c r="L185" s="140"/>
    </row>
    <row r="186" spans="1:12" ht="15" customHeight="1">
      <c r="A186" s="79" t="s">
        <v>426</v>
      </c>
      <c r="B186" s="122" t="s">
        <v>427</v>
      </c>
      <c r="C186" s="1" t="s">
        <v>8</v>
      </c>
      <c r="D186" s="5" t="s">
        <v>23</v>
      </c>
      <c r="E186" s="141">
        <v>43238</v>
      </c>
      <c r="F186" s="83">
        <v>43465</v>
      </c>
      <c r="G186" s="136">
        <v>99000</v>
      </c>
      <c r="H186" s="150" t="s">
        <v>6</v>
      </c>
      <c r="I186" s="14" t="s">
        <v>110</v>
      </c>
      <c r="J186" s="12" t="s">
        <v>111</v>
      </c>
      <c r="K186" s="12" t="s">
        <v>96</v>
      </c>
      <c r="L186" s="77" t="s">
        <v>428</v>
      </c>
    </row>
    <row r="187" spans="1:12" ht="15" customHeight="1" thickBot="1">
      <c r="A187" s="80"/>
      <c r="B187" s="123"/>
      <c r="C187" s="19" t="s">
        <v>30</v>
      </c>
      <c r="D187" s="33" t="s">
        <v>24</v>
      </c>
      <c r="E187" s="142"/>
      <c r="F187" s="84"/>
      <c r="G187" s="137"/>
      <c r="H187" s="151"/>
      <c r="I187" s="15" t="s">
        <v>110</v>
      </c>
      <c r="J187" s="13" t="s">
        <v>111</v>
      </c>
      <c r="K187" s="13" t="s">
        <v>96</v>
      </c>
      <c r="L187" s="78"/>
    </row>
    <row r="188" spans="1:12" ht="15" customHeight="1">
      <c r="A188" s="79" t="s">
        <v>429</v>
      </c>
      <c r="B188" s="126" t="s">
        <v>74</v>
      </c>
      <c r="C188" s="1" t="s">
        <v>10</v>
      </c>
      <c r="D188" s="5" t="s">
        <v>19</v>
      </c>
      <c r="E188" s="83">
        <v>43238</v>
      </c>
      <c r="F188" s="83">
        <v>43313</v>
      </c>
      <c r="G188" s="136">
        <v>64500</v>
      </c>
      <c r="H188" s="150">
        <f>G188/100*18</f>
        <v>11610</v>
      </c>
      <c r="I188" s="14" t="s">
        <v>101</v>
      </c>
      <c r="J188" s="12" t="s">
        <v>109</v>
      </c>
      <c r="K188" s="12" t="s">
        <v>96</v>
      </c>
      <c r="L188" s="77" t="s">
        <v>430</v>
      </c>
    </row>
    <row r="189" spans="1:12" ht="15" customHeight="1" thickBot="1">
      <c r="A189" s="80"/>
      <c r="B189" s="127"/>
      <c r="C189" s="19" t="s">
        <v>8</v>
      </c>
      <c r="D189" s="33" t="s">
        <v>214</v>
      </c>
      <c r="E189" s="92"/>
      <c r="F189" s="84"/>
      <c r="G189" s="137"/>
      <c r="H189" s="151"/>
      <c r="I189" s="15" t="s">
        <v>101</v>
      </c>
      <c r="J189" s="13" t="s">
        <v>109</v>
      </c>
      <c r="K189" s="13" t="s">
        <v>96</v>
      </c>
      <c r="L189" s="78"/>
    </row>
    <row r="190" spans="1:12" ht="15" customHeight="1">
      <c r="A190" s="79" t="s">
        <v>431</v>
      </c>
      <c r="B190" s="106" t="s">
        <v>432</v>
      </c>
      <c r="C190" s="108" t="s">
        <v>8</v>
      </c>
      <c r="D190" s="98" t="s">
        <v>433</v>
      </c>
      <c r="E190" s="83">
        <v>43241</v>
      </c>
      <c r="F190" s="83">
        <v>43586</v>
      </c>
      <c r="G190" s="143">
        <v>40000</v>
      </c>
      <c r="H190" s="112">
        <f>G190/100*18</f>
        <v>7200</v>
      </c>
      <c r="I190" s="114" t="s">
        <v>103</v>
      </c>
      <c r="J190" s="116" t="s">
        <v>137</v>
      </c>
      <c r="K190" s="116" t="s">
        <v>96</v>
      </c>
      <c r="L190" s="235" t="s">
        <v>434</v>
      </c>
    </row>
    <row r="191" spans="1:12" ht="15" customHeight="1" thickBot="1">
      <c r="A191" s="80"/>
      <c r="B191" s="107"/>
      <c r="C191" s="109"/>
      <c r="D191" s="99"/>
      <c r="E191" s="84"/>
      <c r="F191" s="84"/>
      <c r="G191" s="144"/>
      <c r="H191" s="113"/>
      <c r="I191" s="115"/>
      <c r="J191" s="117"/>
      <c r="K191" s="117"/>
      <c r="L191" s="237"/>
    </row>
    <row r="192" spans="1:12" ht="15" customHeight="1">
      <c r="A192" s="79" t="s">
        <v>439</v>
      </c>
      <c r="B192" s="122" t="s">
        <v>436</v>
      </c>
      <c r="C192" s="124" t="s">
        <v>437</v>
      </c>
      <c r="D192" s="98" t="s">
        <v>58</v>
      </c>
      <c r="E192" s="83">
        <v>43243</v>
      </c>
      <c r="F192" s="83">
        <v>43616</v>
      </c>
      <c r="G192" s="136">
        <v>47640</v>
      </c>
      <c r="H192" s="85">
        <f>G192/100*18</f>
        <v>8575.1999999999989</v>
      </c>
      <c r="I192" s="124" t="s">
        <v>110</v>
      </c>
      <c r="J192" s="100" t="s">
        <v>126</v>
      </c>
      <c r="K192" s="100" t="s">
        <v>96</v>
      </c>
      <c r="L192" s="77" t="s">
        <v>438</v>
      </c>
    </row>
    <row r="193" spans="1:12" ht="15" customHeight="1" thickBot="1">
      <c r="A193" s="80"/>
      <c r="B193" s="123"/>
      <c r="C193" s="125"/>
      <c r="D193" s="99"/>
      <c r="E193" s="92"/>
      <c r="F193" s="92"/>
      <c r="G193" s="137"/>
      <c r="H193" s="86"/>
      <c r="I193" s="125"/>
      <c r="J193" s="101"/>
      <c r="K193" s="101"/>
      <c r="L193" s="78"/>
    </row>
    <row r="194" spans="1:12" ht="15" customHeight="1">
      <c r="A194" s="79" t="s">
        <v>440</v>
      </c>
      <c r="B194" s="126" t="s">
        <v>441</v>
      </c>
      <c r="C194" s="160" t="s">
        <v>26</v>
      </c>
      <c r="D194" s="98" t="s">
        <v>176</v>
      </c>
      <c r="E194" s="83">
        <v>43248</v>
      </c>
      <c r="F194" s="83">
        <v>43432</v>
      </c>
      <c r="G194" s="136">
        <v>13333</v>
      </c>
      <c r="H194" s="150">
        <f>G194/100*18</f>
        <v>2399.94</v>
      </c>
      <c r="I194" s="124" t="s">
        <v>177</v>
      </c>
      <c r="J194" s="100" t="s">
        <v>178</v>
      </c>
      <c r="K194" s="100" t="s">
        <v>96</v>
      </c>
      <c r="L194" s="77" t="s">
        <v>442</v>
      </c>
    </row>
    <row r="195" spans="1:12" ht="15" customHeight="1" thickBot="1">
      <c r="A195" s="80"/>
      <c r="B195" s="127"/>
      <c r="C195" s="133"/>
      <c r="D195" s="99"/>
      <c r="E195" s="92"/>
      <c r="F195" s="84"/>
      <c r="G195" s="137"/>
      <c r="H195" s="151"/>
      <c r="I195" s="125"/>
      <c r="J195" s="101"/>
      <c r="K195" s="101"/>
      <c r="L195" s="78"/>
    </row>
    <row r="196" spans="1:12" ht="15" customHeight="1">
      <c r="A196" s="79" t="s">
        <v>443</v>
      </c>
      <c r="B196" s="126" t="s">
        <v>444</v>
      </c>
      <c r="C196" s="1" t="s">
        <v>10</v>
      </c>
      <c r="D196" s="5" t="s">
        <v>445</v>
      </c>
      <c r="E196" s="83">
        <v>43259</v>
      </c>
      <c r="F196" s="83">
        <v>43435</v>
      </c>
      <c r="G196" s="136">
        <v>50000</v>
      </c>
      <c r="H196" s="150">
        <f>G196/100*18</f>
        <v>9000</v>
      </c>
      <c r="I196" s="14" t="s">
        <v>101</v>
      </c>
      <c r="J196" s="12" t="s">
        <v>109</v>
      </c>
      <c r="K196" s="12" t="s">
        <v>96</v>
      </c>
      <c r="L196" s="77" t="s">
        <v>446</v>
      </c>
    </row>
    <row r="197" spans="1:12" ht="15" customHeight="1" thickBot="1">
      <c r="A197" s="80"/>
      <c r="B197" s="127"/>
      <c r="C197" s="19" t="s">
        <v>10</v>
      </c>
      <c r="D197" s="33" t="s">
        <v>29</v>
      </c>
      <c r="E197" s="92"/>
      <c r="F197" s="84"/>
      <c r="G197" s="137"/>
      <c r="H197" s="151"/>
      <c r="I197" s="15" t="s">
        <v>101</v>
      </c>
      <c r="J197" s="13" t="s">
        <v>109</v>
      </c>
      <c r="K197" s="13" t="s">
        <v>96</v>
      </c>
      <c r="L197" s="78"/>
    </row>
    <row r="198" spans="1:12" ht="15" customHeight="1">
      <c r="A198" s="79" t="s">
        <v>447</v>
      </c>
      <c r="B198" s="126" t="s">
        <v>448</v>
      </c>
      <c r="C198" s="160" t="s">
        <v>10</v>
      </c>
      <c r="D198" s="98" t="s">
        <v>72</v>
      </c>
      <c r="E198" s="83">
        <v>43266</v>
      </c>
      <c r="F198" s="83">
        <v>43358</v>
      </c>
      <c r="G198" s="136">
        <v>12000</v>
      </c>
      <c r="H198" s="150">
        <f>G198/100*18</f>
        <v>2160</v>
      </c>
      <c r="I198" s="124" t="s">
        <v>100</v>
      </c>
      <c r="J198" s="100" t="s">
        <v>113</v>
      </c>
      <c r="K198" s="100" t="s">
        <v>96</v>
      </c>
      <c r="L198" s="77" t="s">
        <v>449</v>
      </c>
    </row>
    <row r="199" spans="1:12" ht="15" customHeight="1" thickBot="1">
      <c r="A199" s="80"/>
      <c r="B199" s="127"/>
      <c r="C199" s="133"/>
      <c r="D199" s="99"/>
      <c r="E199" s="92"/>
      <c r="F199" s="84"/>
      <c r="G199" s="137"/>
      <c r="H199" s="151"/>
      <c r="I199" s="125"/>
      <c r="J199" s="101"/>
      <c r="K199" s="101"/>
      <c r="L199" s="78"/>
    </row>
    <row r="200" spans="1:12" ht="15" customHeight="1">
      <c r="A200" s="104" t="s">
        <v>450</v>
      </c>
      <c r="B200" s="146" t="s">
        <v>451</v>
      </c>
      <c r="C200" s="47" t="s">
        <v>30</v>
      </c>
      <c r="D200" s="1" t="s">
        <v>85</v>
      </c>
      <c r="E200" s="83">
        <v>43269</v>
      </c>
      <c r="F200" s="83">
        <v>43483</v>
      </c>
      <c r="G200" s="110">
        <v>175000</v>
      </c>
      <c r="H200" s="112">
        <f>G200/100*18</f>
        <v>31500</v>
      </c>
      <c r="I200" s="114" t="s">
        <v>101</v>
      </c>
      <c r="J200" s="116" t="s">
        <v>116</v>
      </c>
      <c r="K200" s="116" t="s">
        <v>96</v>
      </c>
      <c r="L200" s="235" t="s">
        <v>452</v>
      </c>
    </row>
    <row r="201" spans="1:12" ht="15" customHeight="1">
      <c r="A201" s="145"/>
      <c r="B201" s="147"/>
      <c r="C201" s="43" t="s">
        <v>30</v>
      </c>
      <c r="D201" s="18" t="s">
        <v>86</v>
      </c>
      <c r="E201" s="91"/>
      <c r="F201" s="91"/>
      <c r="G201" s="156"/>
      <c r="H201" s="157"/>
      <c r="I201" s="158"/>
      <c r="J201" s="159"/>
      <c r="K201" s="159"/>
      <c r="L201" s="97"/>
    </row>
    <row r="202" spans="1:12" ht="15" customHeight="1" thickBot="1">
      <c r="A202" s="105"/>
      <c r="B202" s="148"/>
      <c r="C202" s="55" t="s">
        <v>11</v>
      </c>
      <c r="D202" s="19" t="s">
        <v>398</v>
      </c>
      <c r="E202" s="84"/>
      <c r="F202" s="84"/>
      <c r="G202" s="111"/>
      <c r="H202" s="113"/>
      <c r="I202" s="115"/>
      <c r="J202" s="117"/>
      <c r="K202" s="117"/>
      <c r="L202" s="237"/>
    </row>
    <row r="203" spans="1:12" ht="15" customHeight="1">
      <c r="A203" s="79" t="s">
        <v>453</v>
      </c>
      <c r="B203" s="126" t="s">
        <v>454</v>
      </c>
      <c r="C203" s="160" t="s">
        <v>30</v>
      </c>
      <c r="D203" s="98" t="s">
        <v>455</v>
      </c>
      <c r="E203" s="83">
        <v>43276</v>
      </c>
      <c r="F203" s="83">
        <v>43464</v>
      </c>
      <c r="G203" s="136">
        <v>41950</v>
      </c>
      <c r="H203" s="150">
        <f>G203/100*18</f>
        <v>7551</v>
      </c>
      <c r="I203" s="124" t="s">
        <v>110</v>
      </c>
      <c r="J203" s="100" t="s">
        <v>114</v>
      </c>
      <c r="K203" s="100" t="s">
        <v>96</v>
      </c>
      <c r="L203" s="77" t="s">
        <v>456</v>
      </c>
    </row>
    <row r="204" spans="1:12" ht="15" customHeight="1" thickBot="1">
      <c r="A204" s="80"/>
      <c r="B204" s="127"/>
      <c r="C204" s="133"/>
      <c r="D204" s="99"/>
      <c r="E204" s="92"/>
      <c r="F204" s="84"/>
      <c r="G204" s="137"/>
      <c r="H204" s="151"/>
      <c r="I204" s="125"/>
      <c r="J204" s="101"/>
      <c r="K204" s="101"/>
      <c r="L204" s="78"/>
    </row>
    <row r="205" spans="1:12" ht="15" customHeight="1">
      <c r="A205" s="79" t="s">
        <v>458</v>
      </c>
      <c r="B205" s="126" t="s">
        <v>459</v>
      </c>
      <c r="C205" s="1" t="s">
        <v>8</v>
      </c>
      <c r="D205" s="5" t="s">
        <v>44</v>
      </c>
      <c r="E205" s="83">
        <v>43280</v>
      </c>
      <c r="F205" s="83">
        <v>43645</v>
      </c>
      <c r="G205" s="136">
        <v>68000</v>
      </c>
      <c r="H205" s="154">
        <f>G205/100*18</f>
        <v>12240</v>
      </c>
      <c r="I205" s="14" t="s">
        <v>101</v>
      </c>
      <c r="J205" s="12" t="s">
        <v>109</v>
      </c>
      <c r="K205" s="12" t="s">
        <v>96</v>
      </c>
      <c r="L205" s="77" t="s">
        <v>457</v>
      </c>
    </row>
    <row r="206" spans="1:12" ht="15" customHeight="1" thickBot="1">
      <c r="A206" s="80"/>
      <c r="B206" s="127"/>
      <c r="C206" s="19" t="s">
        <v>26</v>
      </c>
      <c r="D206" s="33" t="s">
        <v>460</v>
      </c>
      <c r="E206" s="92"/>
      <c r="F206" s="84"/>
      <c r="G206" s="137"/>
      <c r="H206" s="155"/>
      <c r="I206" s="15" t="s">
        <v>101</v>
      </c>
      <c r="J206" s="13" t="s">
        <v>109</v>
      </c>
      <c r="K206" s="13" t="s">
        <v>96</v>
      </c>
      <c r="L206" s="78"/>
    </row>
    <row r="207" spans="1:12" ht="15" customHeight="1">
      <c r="A207" s="104" t="s">
        <v>461</v>
      </c>
      <c r="B207" s="106" t="s">
        <v>462</v>
      </c>
      <c r="C207" s="108" t="s">
        <v>10</v>
      </c>
      <c r="D207" s="98" t="s">
        <v>93</v>
      </c>
      <c r="E207" s="83">
        <v>43280</v>
      </c>
      <c r="F207" s="83">
        <v>43657</v>
      </c>
      <c r="G207" s="110">
        <v>91525</v>
      </c>
      <c r="H207" s="112">
        <f>G207/100*18</f>
        <v>16474.5</v>
      </c>
      <c r="I207" s="114" t="s">
        <v>103</v>
      </c>
      <c r="J207" s="116" t="s">
        <v>118</v>
      </c>
      <c r="K207" s="116" t="s">
        <v>96</v>
      </c>
      <c r="L207" s="138" t="s">
        <v>463</v>
      </c>
    </row>
    <row r="208" spans="1:12" ht="15" customHeight="1" thickBot="1">
      <c r="A208" s="105"/>
      <c r="B208" s="107"/>
      <c r="C208" s="109"/>
      <c r="D208" s="99"/>
      <c r="E208" s="84"/>
      <c r="F208" s="84"/>
      <c r="G208" s="111"/>
      <c r="H208" s="113"/>
      <c r="I208" s="115"/>
      <c r="J208" s="117"/>
      <c r="K208" s="117"/>
      <c r="L208" s="140"/>
    </row>
    <row r="209" spans="1:12" ht="15" customHeight="1">
      <c r="A209" s="79" t="s">
        <v>464</v>
      </c>
      <c r="B209" s="126" t="s">
        <v>465</v>
      </c>
      <c r="C209" s="1" t="s">
        <v>10</v>
      </c>
      <c r="D209" s="5" t="s">
        <v>13</v>
      </c>
      <c r="E209" s="83">
        <v>43280</v>
      </c>
      <c r="F209" s="83">
        <v>43733</v>
      </c>
      <c r="G209" s="136">
        <v>160000</v>
      </c>
      <c r="H209" s="154">
        <f>G209/100*18</f>
        <v>28800</v>
      </c>
      <c r="I209" s="14" t="s">
        <v>100</v>
      </c>
      <c r="J209" s="12" t="s">
        <v>108</v>
      </c>
      <c r="K209" s="12" t="s">
        <v>96</v>
      </c>
      <c r="L209" s="77" t="s">
        <v>466</v>
      </c>
    </row>
    <row r="210" spans="1:12" ht="15" customHeight="1" thickBot="1">
      <c r="A210" s="80"/>
      <c r="B210" s="127"/>
      <c r="C210" s="19" t="s">
        <v>10</v>
      </c>
      <c r="D210" s="33" t="s">
        <v>19</v>
      </c>
      <c r="E210" s="92"/>
      <c r="F210" s="84"/>
      <c r="G210" s="137"/>
      <c r="H210" s="155"/>
      <c r="I210" s="15" t="s">
        <v>101</v>
      </c>
      <c r="J210" s="13" t="s">
        <v>109</v>
      </c>
      <c r="K210" s="13" t="s">
        <v>96</v>
      </c>
      <c r="L210" s="78"/>
    </row>
    <row r="211" spans="1:12" ht="15" customHeight="1">
      <c r="A211" s="79" t="s">
        <v>467</v>
      </c>
      <c r="B211" s="106" t="s">
        <v>468</v>
      </c>
      <c r="C211" s="108" t="s">
        <v>437</v>
      </c>
      <c r="D211" s="98" t="s">
        <v>415</v>
      </c>
      <c r="E211" s="83">
        <v>43280</v>
      </c>
      <c r="F211" s="83">
        <v>43951</v>
      </c>
      <c r="G211" s="143">
        <v>90720</v>
      </c>
      <c r="H211" s="112">
        <f>G211/100*18</f>
        <v>16329.6</v>
      </c>
      <c r="I211" s="114" t="s">
        <v>124</v>
      </c>
      <c r="J211" s="116" t="s">
        <v>416</v>
      </c>
      <c r="K211" s="116" t="s">
        <v>417</v>
      </c>
      <c r="L211" s="138" t="s">
        <v>469</v>
      </c>
    </row>
    <row r="212" spans="1:12" ht="15" customHeight="1" thickBot="1">
      <c r="A212" s="80"/>
      <c r="B212" s="107"/>
      <c r="C212" s="109"/>
      <c r="D212" s="99"/>
      <c r="E212" s="84"/>
      <c r="F212" s="84"/>
      <c r="G212" s="144"/>
      <c r="H212" s="113"/>
      <c r="I212" s="115"/>
      <c r="J212" s="117"/>
      <c r="K212" s="117"/>
      <c r="L212" s="140"/>
    </row>
    <row r="213" spans="1:12" ht="15" customHeight="1">
      <c r="A213" s="79" t="s">
        <v>470</v>
      </c>
      <c r="B213" s="106" t="s">
        <v>471</v>
      </c>
      <c r="C213" s="108" t="s">
        <v>437</v>
      </c>
      <c r="D213" s="98" t="s">
        <v>76</v>
      </c>
      <c r="E213" s="83">
        <v>43283</v>
      </c>
      <c r="F213" s="83">
        <v>43403</v>
      </c>
      <c r="G213" s="143">
        <v>23700</v>
      </c>
      <c r="H213" s="112">
        <f>G213/100*18</f>
        <v>4266</v>
      </c>
      <c r="I213" s="114" t="s">
        <v>100</v>
      </c>
      <c r="J213" s="116" t="s">
        <v>108</v>
      </c>
      <c r="K213" s="116" t="s">
        <v>96</v>
      </c>
      <c r="L213" s="138" t="s">
        <v>472</v>
      </c>
    </row>
    <row r="214" spans="1:12" ht="15" customHeight="1" thickBot="1">
      <c r="A214" s="80"/>
      <c r="B214" s="107"/>
      <c r="C214" s="109"/>
      <c r="D214" s="99"/>
      <c r="E214" s="84"/>
      <c r="F214" s="84"/>
      <c r="G214" s="144"/>
      <c r="H214" s="113"/>
      <c r="I214" s="115"/>
      <c r="J214" s="117"/>
      <c r="K214" s="117"/>
      <c r="L214" s="140"/>
    </row>
    <row r="215" spans="1:12" ht="15" customHeight="1">
      <c r="A215" s="79" t="s">
        <v>473</v>
      </c>
      <c r="B215" s="126" t="s">
        <v>474</v>
      </c>
      <c r="C215" s="160" t="s">
        <v>10</v>
      </c>
      <c r="D215" s="98" t="s">
        <v>19</v>
      </c>
      <c r="E215" s="83">
        <v>43287</v>
      </c>
      <c r="F215" s="83">
        <v>43349</v>
      </c>
      <c r="G215" s="136">
        <v>65500</v>
      </c>
      <c r="H215" s="150">
        <f>G215/100*18</f>
        <v>11790</v>
      </c>
      <c r="I215" s="124" t="s">
        <v>101</v>
      </c>
      <c r="J215" s="100" t="s">
        <v>109</v>
      </c>
      <c r="K215" s="100" t="s">
        <v>96</v>
      </c>
      <c r="L215" s="77" t="s">
        <v>475</v>
      </c>
    </row>
    <row r="216" spans="1:12" ht="15" customHeight="1" thickBot="1">
      <c r="A216" s="80"/>
      <c r="B216" s="127"/>
      <c r="C216" s="133"/>
      <c r="D216" s="99"/>
      <c r="E216" s="92"/>
      <c r="F216" s="84"/>
      <c r="G216" s="137"/>
      <c r="H216" s="151"/>
      <c r="I216" s="125"/>
      <c r="J216" s="101"/>
      <c r="K216" s="101"/>
      <c r="L216" s="78"/>
    </row>
    <row r="217" spans="1:12" ht="15" customHeight="1">
      <c r="A217" s="79" t="s">
        <v>477</v>
      </c>
      <c r="B217" s="122" t="s">
        <v>77</v>
      </c>
      <c r="C217" s="124" t="s">
        <v>12</v>
      </c>
      <c r="D217" s="98" t="s">
        <v>78</v>
      </c>
      <c r="E217" s="83">
        <v>43297</v>
      </c>
      <c r="F217" s="83">
        <v>43373</v>
      </c>
      <c r="G217" s="136">
        <v>30000</v>
      </c>
      <c r="H217" s="150">
        <f>G217/100*18</f>
        <v>5400</v>
      </c>
      <c r="I217" s="124" t="s">
        <v>124</v>
      </c>
      <c r="J217" s="100" t="s">
        <v>111</v>
      </c>
      <c r="K217" s="100" t="s">
        <v>112</v>
      </c>
      <c r="L217" s="77" t="s">
        <v>476</v>
      </c>
    </row>
    <row r="218" spans="1:12" ht="15" customHeight="1" thickBot="1">
      <c r="A218" s="80"/>
      <c r="B218" s="123"/>
      <c r="C218" s="125"/>
      <c r="D218" s="99"/>
      <c r="E218" s="92"/>
      <c r="F218" s="84"/>
      <c r="G218" s="137"/>
      <c r="H218" s="151"/>
      <c r="I218" s="158"/>
      <c r="J218" s="159"/>
      <c r="K218" s="159"/>
      <c r="L218" s="78"/>
    </row>
    <row r="219" spans="1:12" ht="15" customHeight="1">
      <c r="A219" s="104" t="s">
        <v>478</v>
      </c>
      <c r="B219" s="146" t="s">
        <v>479</v>
      </c>
      <c r="C219" s="47" t="s">
        <v>10</v>
      </c>
      <c r="D219" s="1" t="s">
        <v>31</v>
      </c>
      <c r="E219" s="83">
        <v>43297</v>
      </c>
      <c r="F219" s="83">
        <v>43373</v>
      </c>
      <c r="G219" s="110">
        <v>50000</v>
      </c>
      <c r="H219" s="112">
        <f>G219/100*18</f>
        <v>9000</v>
      </c>
      <c r="I219" s="14" t="s">
        <v>122</v>
      </c>
      <c r="J219" s="14" t="s">
        <v>123</v>
      </c>
      <c r="K219" s="12" t="s">
        <v>97</v>
      </c>
      <c r="L219" s="138" t="s">
        <v>481</v>
      </c>
    </row>
    <row r="220" spans="1:12" ht="15" customHeight="1">
      <c r="A220" s="145"/>
      <c r="B220" s="147"/>
      <c r="C220" s="43" t="s">
        <v>30</v>
      </c>
      <c r="D220" s="18" t="s">
        <v>53</v>
      </c>
      <c r="E220" s="91"/>
      <c r="F220" s="91"/>
      <c r="G220" s="156"/>
      <c r="H220" s="157"/>
      <c r="I220" s="8" t="s">
        <v>122</v>
      </c>
      <c r="J220" s="8" t="s">
        <v>123</v>
      </c>
      <c r="K220" s="20" t="s">
        <v>96</v>
      </c>
      <c r="L220" s="139"/>
    </row>
    <row r="221" spans="1:12" ht="15" customHeight="1" thickBot="1">
      <c r="A221" s="105"/>
      <c r="B221" s="148"/>
      <c r="C221" s="55" t="s">
        <v>11</v>
      </c>
      <c r="D221" s="19" t="s">
        <v>480</v>
      </c>
      <c r="E221" s="84"/>
      <c r="F221" s="84"/>
      <c r="G221" s="111"/>
      <c r="H221" s="113"/>
      <c r="I221" s="15" t="s">
        <v>122</v>
      </c>
      <c r="J221" s="15" t="s">
        <v>123</v>
      </c>
      <c r="K221" s="13" t="s">
        <v>96</v>
      </c>
      <c r="L221" s="140"/>
    </row>
    <row r="222" spans="1:12" ht="15" customHeight="1">
      <c r="A222" s="79" t="s">
        <v>482</v>
      </c>
      <c r="B222" s="106" t="s">
        <v>483</v>
      </c>
      <c r="C222" s="108" t="s">
        <v>10</v>
      </c>
      <c r="D222" s="98" t="s">
        <v>15</v>
      </c>
      <c r="E222" s="83">
        <v>43313</v>
      </c>
      <c r="F222" s="83">
        <v>43861</v>
      </c>
      <c r="G222" s="143">
        <v>89100</v>
      </c>
      <c r="H222" s="112">
        <f>G222/100*18</f>
        <v>16038</v>
      </c>
      <c r="I222" s="114" t="s">
        <v>101</v>
      </c>
      <c r="J222" s="116" t="s">
        <v>115</v>
      </c>
      <c r="K222" s="116" t="s">
        <v>96</v>
      </c>
      <c r="L222" s="138" t="s">
        <v>484</v>
      </c>
    </row>
    <row r="223" spans="1:12" ht="15" customHeight="1" thickBot="1">
      <c r="A223" s="80"/>
      <c r="B223" s="107"/>
      <c r="C223" s="109"/>
      <c r="D223" s="99"/>
      <c r="E223" s="84"/>
      <c r="F223" s="84"/>
      <c r="G223" s="144"/>
      <c r="H223" s="113"/>
      <c r="I223" s="115"/>
      <c r="J223" s="117"/>
      <c r="K223" s="117"/>
      <c r="L223" s="140"/>
    </row>
    <row r="224" spans="1:12" ht="15" customHeight="1">
      <c r="A224" s="79" t="s">
        <v>485</v>
      </c>
      <c r="B224" s="126" t="s">
        <v>486</v>
      </c>
      <c r="C224" s="1" t="s">
        <v>8</v>
      </c>
      <c r="D224" s="5" t="s">
        <v>487</v>
      </c>
      <c r="E224" s="83">
        <v>43313</v>
      </c>
      <c r="F224" s="83">
        <v>43403</v>
      </c>
      <c r="G224" s="136">
        <v>15000</v>
      </c>
      <c r="H224" s="154">
        <f>G224/100*18</f>
        <v>2700</v>
      </c>
      <c r="I224" s="14" t="s">
        <v>103</v>
      </c>
      <c r="J224" s="12" t="s">
        <v>127</v>
      </c>
      <c r="K224" s="12" t="s">
        <v>96</v>
      </c>
      <c r="L224" s="77" t="s">
        <v>490</v>
      </c>
    </row>
    <row r="225" spans="1:12" ht="15" customHeight="1" thickBot="1">
      <c r="A225" s="80"/>
      <c r="B225" s="127"/>
      <c r="C225" s="19" t="s">
        <v>26</v>
      </c>
      <c r="D225" s="33" t="s">
        <v>488</v>
      </c>
      <c r="E225" s="84"/>
      <c r="F225" s="84"/>
      <c r="G225" s="137"/>
      <c r="H225" s="155"/>
      <c r="I225" s="15" t="s">
        <v>107</v>
      </c>
      <c r="J225" s="13" t="s">
        <v>489</v>
      </c>
      <c r="K225" s="13" t="s">
        <v>96</v>
      </c>
      <c r="L225" s="78"/>
    </row>
    <row r="226" spans="1:12" ht="15" customHeight="1">
      <c r="A226" s="79" t="s">
        <v>491</v>
      </c>
      <c r="B226" s="106" t="s">
        <v>94</v>
      </c>
      <c r="C226" s="108" t="s">
        <v>437</v>
      </c>
      <c r="D226" s="98" t="s">
        <v>60</v>
      </c>
      <c r="E226" s="83">
        <v>43322</v>
      </c>
      <c r="F226" s="83">
        <v>43524</v>
      </c>
      <c r="G226" s="143">
        <v>25000</v>
      </c>
      <c r="H226" s="112">
        <f>G226/100*18</f>
        <v>4500</v>
      </c>
      <c r="I226" s="114" t="s">
        <v>110</v>
      </c>
      <c r="J226" s="116" t="s">
        <v>114</v>
      </c>
      <c r="K226" s="116" t="s">
        <v>96</v>
      </c>
      <c r="L226" s="138" t="s">
        <v>492</v>
      </c>
    </row>
    <row r="227" spans="1:12" ht="15" customHeight="1" thickBot="1">
      <c r="A227" s="80"/>
      <c r="B227" s="107"/>
      <c r="C227" s="109"/>
      <c r="D227" s="99"/>
      <c r="E227" s="84"/>
      <c r="F227" s="84"/>
      <c r="G227" s="144"/>
      <c r="H227" s="113"/>
      <c r="I227" s="115"/>
      <c r="J227" s="117"/>
      <c r="K227" s="117"/>
      <c r="L227" s="140"/>
    </row>
    <row r="228" spans="1:12" ht="15" customHeight="1">
      <c r="A228" s="79" t="s">
        <v>493</v>
      </c>
      <c r="B228" s="122" t="s">
        <v>494</v>
      </c>
      <c r="C228" s="124" t="s">
        <v>437</v>
      </c>
      <c r="D228" s="98" t="s">
        <v>58</v>
      </c>
      <c r="E228" s="83">
        <v>43339</v>
      </c>
      <c r="F228" s="83">
        <v>43830</v>
      </c>
      <c r="G228" s="136">
        <v>108000</v>
      </c>
      <c r="H228" s="85">
        <f>G228/100*18</f>
        <v>19440</v>
      </c>
      <c r="I228" s="124" t="s">
        <v>110</v>
      </c>
      <c r="J228" s="100" t="s">
        <v>126</v>
      </c>
      <c r="K228" s="100" t="s">
        <v>96</v>
      </c>
      <c r="L228" s="77" t="s">
        <v>495</v>
      </c>
    </row>
    <row r="229" spans="1:12" ht="15" customHeight="1" thickBot="1">
      <c r="A229" s="80"/>
      <c r="B229" s="123"/>
      <c r="C229" s="125"/>
      <c r="D229" s="99"/>
      <c r="E229" s="92"/>
      <c r="F229" s="92"/>
      <c r="G229" s="137"/>
      <c r="H229" s="86"/>
      <c r="I229" s="125"/>
      <c r="J229" s="101"/>
      <c r="K229" s="101"/>
      <c r="L229" s="78"/>
    </row>
    <row r="230" spans="1:12" ht="15" customHeight="1">
      <c r="A230" s="79" t="s">
        <v>497</v>
      </c>
      <c r="B230" s="126" t="s">
        <v>217</v>
      </c>
      <c r="C230" s="98" t="s">
        <v>8</v>
      </c>
      <c r="D230" s="98" t="s">
        <v>218</v>
      </c>
      <c r="E230" s="83">
        <v>42974</v>
      </c>
      <c r="F230" s="83">
        <v>43524</v>
      </c>
      <c r="G230" s="136">
        <v>40000</v>
      </c>
      <c r="H230" s="150">
        <f>G230/100*18</f>
        <v>7200</v>
      </c>
      <c r="I230" s="124" t="s">
        <v>130</v>
      </c>
      <c r="J230" s="100" t="s">
        <v>219</v>
      </c>
      <c r="K230" s="100" t="s">
        <v>96</v>
      </c>
      <c r="L230" s="77" t="s">
        <v>496</v>
      </c>
    </row>
    <row r="231" spans="1:12" ht="15" customHeight="1" thickBot="1">
      <c r="A231" s="80"/>
      <c r="B231" s="127"/>
      <c r="C231" s="99"/>
      <c r="D231" s="99"/>
      <c r="E231" s="92"/>
      <c r="F231" s="84"/>
      <c r="G231" s="137"/>
      <c r="H231" s="151"/>
      <c r="I231" s="125"/>
      <c r="J231" s="101"/>
      <c r="K231" s="101"/>
      <c r="L231" s="78"/>
    </row>
    <row r="232" spans="1:12" ht="15" customHeight="1">
      <c r="A232" s="79" t="s">
        <v>498</v>
      </c>
      <c r="B232" s="126" t="s">
        <v>499</v>
      </c>
      <c r="C232" s="1" t="s">
        <v>10</v>
      </c>
      <c r="D232" s="5" t="s">
        <v>47</v>
      </c>
      <c r="E232" s="83">
        <v>43341</v>
      </c>
      <c r="F232" s="83">
        <v>43463</v>
      </c>
      <c r="G232" s="136">
        <v>35000</v>
      </c>
      <c r="H232" s="154">
        <f>G232/100*18</f>
        <v>6300</v>
      </c>
      <c r="I232" s="14" t="s">
        <v>101</v>
      </c>
      <c r="J232" s="12" t="s">
        <v>109</v>
      </c>
      <c r="K232" s="12" t="s">
        <v>96</v>
      </c>
      <c r="L232" s="77" t="s">
        <v>500</v>
      </c>
    </row>
    <row r="233" spans="1:12" ht="15" customHeight="1" thickBot="1">
      <c r="A233" s="80"/>
      <c r="B233" s="127"/>
      <c r="C233" s="19" t="s">
        <v>8</v>
      </c>
      <c r="D233" s="33" t="s">
        <v>73</v>
      </c>
      <c r="E233" s="84"/>
      <c r="F233" s="84"/>
      <c r="G233" s="137"/>
      <c r="H233" s="155"/>
      <c r="I233" s="15" t="s">
        <v>101</v>
      </c>
      <c r="J233" s="13" t="s">
        <v>109</v>
      </c>
      <c r="K233" s="13" t="s">
        <v>96</v>
      </c>
      <c r="L233" s="78"/>
    </row>
    <row r="234" spans="1:12" ht="15" customHeight="1">
      <c r="A234" s="79" t="s">
        <v>501</v>
      </c>
      <c r="B234" s="126" t="s">
        <v>502</v>
      </c>
      <c r="C234" s="98" t="s">
        <v>437</v>
      </c>
      <c r="D234" s="98" t="s">
        <v>503</v>
      </c>
      <c r="E234" s="83">
        <v>43344</v>
      </c>
      <c r="F234" s="83">
        <v>43861</v>
      </c>
      <c r="G234" s="93">
        <v>33890</v>
      </c>
      <c r="H234" s="150">
        <f>G234/100*18</f>
        <v>6100.2</v>
      </c>
      <c r="I234" s="124" t="s">
        <v>110</v>
      </c>
      <c r="J234" s="100" t="s">
        <v>126</v>
      </c>
      <c r="K234" s="100" t="s">
        <v>96</v>
      </c>
      <c r="L234" s="77" t="s">
        <v>504</v>
      </c>
    </row>
    <row r="235" spans="1:12" ht="15" customHeight="1" thickBot="1">
      <c r="A235" s="80"/>
      <c r="B235" s="127"/>
      <c r="C235" s="99"/>
      <c r="D235" s="99"/>
      <c r="E235" s="92"/>
      <c r="F235" s="84"/>
      <c r="G235" s="95"/>
      <c r="H235" s="151"/>
      <c r="I235" s="125"/>
      <c r="J235" s="101"/>
      <c r="K235" s="101"/>
      <c r="L235" s="78"/>
    </row>
    <row r="236" spans="1:12" ht="15" customHeight="1">
      <c r="A236" s="79" t="s">
        <v>507</v>
      </c>
      <c r="B236" s="122" t="s">
        <v>505</v>
      </c>
      <c r="C236" s="79" t="s">
        <v>10</v>
      </c>
      <c r="D236" s="98" t="s">
        <v>32</v>
      </c>
      <c r="E236" s="141">
        <v>43357</v>
      </c>
      <c r="F236" s="141">
        <v>43418</v>
      </c>
      <c r="G236" s="93">
        <v>40000</v>
      </c>
      <c r="H236" s="150">
        <f>G236/100*18</f>
        <v>7200</v>
      </c>
      <c r="I236" s="124" t="s">
        <v>100</v>
      </c>
      <c r="J236" s="100" t="s">
        <v>108</v>
      </c>
      <c r="K236" s="100" t="s">
        <v>96</v>
      </c>
      <c r="L236" s="77" t="s">
        <v>506</v>
      </c>
    </row>
    <row r="237" spans="1:12" ht="15" customHeight="1" thickBot="1">
      <c r="A237" s="80"/>
      <c r="B237" s="123"/>
      <c r="C237" s="80"/>
      <c r="D237" s="99"/>
      <c r="E237" s="142"/>
      <c r="F237" s="142"/>
      <c r="G237" s="95"/>
      <c r="H237" s="151"/>
      <c r="I237" s="125"/>
      <c r="J237" s="101"/>
      <c r="K237" s="101"/>
      <c r="L237" s="78"/>
    </row>
    <row r="238" spans="1:12" ht="15" customHeight="1">
      <c r="A238" s="79" t="s">
        <v>508</v>
      </c>
      <c r="B238" s="126" t="s">
        <v>509</v>
      </c>
      <c r="C238" s="1" t="s">
        <v>10</v>
      </c>
      <c r="D238" s="1" t="s">
        <v>41</v>
      </c>
      <c r="E238" s="83">
        <v>43363</v>
      </c>
      <c r="F238" s="83">
        <v>43434</v>
      </c>
      <c r="G238" s="172">
        <v>10300</v>
      </c>
      <c r="H238" s="169">
        <f>G238/100*18</f>
        <v>1854</v>
      </c>
      <c r="I238" s="14" t="s">
        <v>107</v>
      </c>
      <c r="J238" s="12" t="s">
        <v>121</v>
      </c>
      <c r="K238" s="12" t="s">
        <v>96</v>
      </c>
      <c r="L238" s="77" t="s">
        <v>359</v>
      </c>
    </row>
    <row r="239" spans="1:12" ht="15" customHeight="1">
      <c r="A239" s="87"/>
      <c r="B239" s="147"/>
      <c r="C239" s="18" t="s">
        <v>26</v>
      </c>
      <c r="D239" s="18" t="s">
        <v>338</v>
      </c>
      <c r="E239" s="149"/>
      <c r="F239" s="149"/>
      <c r="G239" s="173"/>
      <c r="H239" s="170"/>
      <c r="I239" s="8" t="s">
        <v>238</v>
      </c>
      <c r="J239" s="20" t="s">
        <v>339</v>
      </c>
      <c r="K239" s="20" t="s">
        <v>340</v>
      </c>
      <c r="L239" s="97"/>
    </row>
    <row r="240" spans="1:12" ht="15" customHeight="1">
      <c r="A240" s="87"/>
      <c r="B240" s="147"/>
      <c r="C240" s="18" t="s">
        <v>26</v>
      </c>
      <c r="D240" s="18" t="s">
        <v>424</v>
      </c>
      <c r="E240" s="149"/>
      <c r="F240" s="149"/>
      <c r="G240" s="173"/>
      <c r="H240" s="170"/>
      <c r="I240" s="8" t="s">
        <v>107</v>
      </c>
      <c r="J240" s="20" t="s">
        <v>121</v>
      </c>
      <c r="K240" s="20" t="s">
        <v>96</v>
      </c>
      <c r="L240" s="97"/>
    </row>
    <row r="241" spans="1:12" ht="15" customHeight="1">
      <c r="A241" s="87"/>
      <c r="B241" s="147"/>
      <c r="C241" s="18" t="s">
        <v>11</v>
      </c>
      <c r="D241" s="18" t="s">
        <v>423</v>
      </c>
      <c r="E241" s="149"/>
      <c r="F241" s="149"/>
      <c r="G241" s="173"/>
      <c r="H241" s="170"/>
      <c r="I241" s="8" t="s">
        <v>107</v>
      </c>
      <c r="J241" s="20" t="s">
        <v>121</v>
      </c>
      <c r="K241" s="20" t="s">
        <v>96</v>
      </c>
      <c r="L241" s="97"/>
    </row>
    <row r="242" spans="1:12" ht="15" customHeight="1">
      <c r="A242" s="87"/>
      <c r="B242" s="147"/>
      <c r="C242" s="18" t="s">
        <v>11</v>
      </c>
      <c r="D242" s="3" t="s">
        <v>523</v>
      </c>
      <c r="E242" s="149"/>
      <c r="F242" s="149"/>
      <c r="G242" s="173"/>
      <c r="H242" s="170"/>
      <c r="I242" s="8" t="s">
        <v>107</v>
      </c>
      <c r="J242" s="20" t="s">
        <v>121</v>
      </c>
      <c r="K242" s="20" t="s">
        <v>96</v>
      </c>
      <c r="L242" s="97"/>
    </row>
    <row r="243" spans="1:12" ht="15" customHeight="1" thickBot="1">
      <c r="A243" s="80"/>
      <c r="B243" s="127"/>
      <c r="C243" s="19" t="s">
        <v>26</v>
      </c>
      <c r="D243" s="19" t="s">
        <v>42</v>
      </c>
      <c r="E243" s="84"/>
      <c r="F243" s="84"/>
      <c r="G243" s="174"/>
      <c r="H243" s="171"/>
      <c r="I243" s="15" t="s">
        <v>107</v>
      </c>
      <c r="J243" s="13" t="s">
        <v>121</v>
      </c>
      <c r="K243" s="13" t="s">
        <v>96</v>
      </c>
      <c r="L243" s="78"/>
    </row>
    <row r="244" spans="1:12" ht="15" customHeight="1">
      <c r="A244" s="104" t="s">
        <v>510</v>
      </c>
      <c r="B244" s="146" t="s">
        <v>511</v>
      </c>
      <c r="C244" s="47" t="s">
        <v>10</v>
      </c>
      <c r="D244" s="1" t="s">
        <v>33</v>
      </c>
      <c r="E244" s="83">
        <v>43368</v>
      </c>
      <c r="F244" s="83">
        <v>43429</v>
      </c>
      <c r="G244" s="110">
        <v>45000</v>
      </c>
      <c r="H244" s="112">
        <f>G244/100*18</f>
        <v>8100</v>
      </c>
      <c r="I244" s="14" t="s">
        <v>122</v>
      </c>
      <c r="J244" s="14" t="s">
        <v>123</v>
      </c>
      <c r="K244" s="12" t="s">
        <v>96</v>
      </c>
      <c r="L244" s="138" t="s">
        <v>513</v>
      </c>
    </row>
    <row r="245" spans="1:12" ht="15" customHeight="1">
      <c r="A245" s="145"/>
      <c r="B245" s="147"/>
      <c r="C245" s="43" t="s">
        <v>30</v>
      </c>
      <c r="D245" s="18" t="s">
        <v>51</v>
      </c>
      <c r="E245" s="91"/>
      <c r="F245" s="91"/>
      <c r="G245" s="156"/>
      <c r="H245" s="157"/>
      <c r="I245" s="8" t="s">
        <v>122</v>
      </c>
      <c r="J245" s="8" t="s">
        <v>123</v>
      </c>
      <c r="K245" s="20" t="s">
        <v>96</v>
      </c>
      <c r="L245" s="139"/>
    </row>
    <row r="246" spans="1:12" ht="15" customHeight="1" thickBot="1">
      <c r="A246" s="105"/>
      <c r="B246" s="148"/>
      <c r="C246" s="55" t="s">
        <v>11</v>
      </c>
      <c r="D246" s="19" t="s">
        <v>512</v>
      </c>
      <c r="E246" s="84"/>
      <c r="F246" s="84"/>
      <c r="G246" s="111"/>
      <c r="H246" s="113"/>
      <c r="I246" s="15" t="s">
        <v>122</v>
      </c>
      <c r="J246" s="15" t="s">
        <v>123</v>
      </c>
      <c r="K246" s="13" t="s">
        <v>96</v>
      </c>
      <c r="L246" s="140"/>
    </row>
    <row r="247" spans="1:12" ht="15" customHeight="1">
      <c r="A247" s="79" t="s">
        <v>514</v>
      </c>
      <c r="B247" s="122" t="s">
        <v>226</v>
      </c>
      <c r="C247" s="79" t="s">
        <v>11</v>
      </c>
      <c r="D247" s="98" t="s">
        <v>515</v>
      </c>
      <c r="E247" s="141">
        <v>43373</v>
      </c>
      <c r="F247" s="83">
        <v>43646</v>
      </c>
      <c r="G247" s="136">
        <v>30000</v>
      </c>
      <c r="H247" s="150">
        <f>G247/100*18</f>
        <v>5400</v>
      </c>
      <c r="I247" s="124" t="s">
        <v>110</v>
      </c>
      <c r="J247" s="100" t="s">
        <v>111</v>
      </c>
      <c r="K247" s="100" t="s">
        <v>96</v>
      </c>
      <c r="L247" s="77" t="s">
        <v>516</v>
      </c>
    </row>
    <row r="248" spans="1:12" ht="15" customHeight="1" thickBot="1">
      <c r="A248" s="80"/>
      <c r="B248" s="123"/>
      <c r="C248" s="80"/>
      <c r="D248" s="99"/>
      <c r="E248" s="142"/>
      <c r="F248" s="84"/>
      <c r="G248" s="137"/>
      <c r="H248" s="151"/>
      <c r="I248" s="125"/>
      <c r="J248" s="101"/>
      <c r="K248" s="101"/>
      <c r="L248" s="78"/>
    </row>
    <row r="249" spans="1:12" ht="15" customHeight="1">
      <c r="A249" s="79" t="s">
        <v>517</v>
      </c>
      <c r="B249" s="122" t="s">
        <v>518</v>
      </c>
      <c r="C249" s="79" t="s">
        <v>10</v>
      </c>
      <c r="D249" s="98" t="s">
        <v>69</v>
      </c>
      <c r="E249" s="141">
        <v>43373</v>
      </c>
      <c r="F249" s="83">
        <v>43764</v>
      </c>
      <c r="G249" s="136">
        <v>0</v>
      </c>
      <c r="H249" s="152">
        <f>G249/100*18</f>
        <v>0</v>
      </c>
      <c r="I249" s="124" t="s">
        <v>107</v>
      </c>
      <c r="J249" s="100" t="s">
        <v>127</v>
      </c>
      <c r="K249" s="100" t="s">
        <v>96</v>
      </c>
      <c r="L249" s="77" t="s">
        <v>87</v>
      </c>
    </row>
    <row r="250" spans="1:12" ht="15" customHeight="1" thickBot="1">
      <c r="A250" s="80"/>
      <c r="B250" s="123"/>
      <c r="C250" s="80"/>
      <c r="D250" s="99"/>
      <c r="E250" s="142"/>
      <c r="F250" s="84"/>
      <c r="G250" s="137"/>
      <c r="H250" s="153"/>
      <c r="I250" s="125"/>
      <c r="J250" s="101"/>
      <c r="K250" s="101"/>
      <c r="L250" s="78"/>
    </row>
    <row r="251" spans="1:12" ht="15" customHeight="1">
      <c r="A251" s="79" t="s">
        <v>519</v>
      </c>
      <c r="B251" s="122" t="s">
        <v>520</v>
      </c>
      <c r="C251" s="79" t="s">
        <v>8</v>
      </c>
      <c r="D251" s="98" t="s">
        <v>521</v>
      </c>
      <c r="E251" s="141">
        <v>43373</v>
      </c>
      <c r="F251" s="83">
        <v>43434</v>
      </c>
      <c r="G251" s="136">
        <v>9850</v>
      </c>
      <c r="H251" s="150">
        <f>G251/100*18</f>
        <v>1773</v>
      </c>
      <c r="I251" s="124" t="s">
        <v>100</v>
      </c>
      <c r="J251" s="100" t="s">
        <v>108</v>
      </c>
      <c r="K251" s="100" t="s">
        <v>96</v>
      </c>
      <c r="L251" s="77" t="s">
        <v>522</v>
      </c>
    </row>
    <row r="252" spans="1:12" ht="15" customHeight="1" thickBot="1">
      <c r="A252" s="80"/>
      <c r="B252" s="123"/>
      <c r="C252" s="80"/>
      <c r="D252" s="99"/>
      <c r="E252" s="142"/>
      <c r="F252" s="84"/>
      <c r="G252" s="137"/>
      <c r="H252" s="151"/>
      <c r="I252" s="125"/>
      <c r="J252" s="101"/>
      <c r="K252" s="101"/>
      <c r="L252" s="78"/>
    </row>
    <row r="253" spans="1:12" ht="15" customHeight="1">
      <c r="A253" s="79" t="s">
        <v>524</v>
      </c>
      <c r="B253" s="122" t="s">
        <v>525</v>
      </c>
      <c r="C253" s="79" t="s">
        <v>8</v>
      </c>
      <c r="D253" s="98" t="s">
        <v>526</v>
      </c>
      <c r="E253" s="141">
        <v>43378</v>
      </c>
      <c r="F253" s="83">
        <v>43464</v>
      </c>
      <c r="G253" s="136">
        <v>45000</v>
      </c>
      <c r="H253" s="150">
        <f>G253/100*18</f>
        <v>8100</v>
      </c>
      <c r="I253" s="124" t="s">
        <v>110</v>
      </c>
      <c r="J253" s="100" t="s">
        <v>111</v>
      </c>
      <c r="K253" s="100" t="s">
        <v>96</v>
      </c>
      <c r="L253" s="77" t="s">
        <v>527</v>
      </c>
    </row>
    <row r="254" spans="1:12" ht="15" customHeight="1" thickBot="1">
      <c r="A254" s="80"/>
      <c r="B254" s="123"/>
      <c r="C254" s="80"/>
      <c r="D254" s="99"/>
      <c r="E254" s="142"/>
      <c r="F254" s="84"/>
      <c r="G254" s="137"/>
      <c r="H254" s="151"/>
      <c r="I254" s="125"/>
      <c r="J254" s="101"/>
      <c r="K254" s="101"/>
      <c r="L254" s="78"/>
    </row>
    <row r="255" spans="1:12" ht="15" customHeight="1">
      <c r="A255" s="79" t="s">
        <v>528</v>
      </c>
      <c r="B255" s="106" t="s">
        <v>529</v>
      </c>
      <c r="C255" s="108" t="s">
        <v>437</v>
      </c>
      <c r="D255" s="98" t="s">
        <v>76</v>
      </c>
      <c r="E255" s="83">
        <v>43383</v>
      </c>
      <c r="F255" s="83">
        <v>43434</v>
      </c>
      <c r="G255" s="143">
        <v>25000</v>
      </c>
      <c r="H255" s="112">
        <f>G255/100*18</f>
        <v>4500</v>
      </c>
      <c r="I255" s="114" t="s">
        <v>100</v>
      </c>
      <c r="J255" s="116" t="s">
        <v>108</v>
      </c>
      <c r="K255" s="116" t="s">
        <v>96</v>
      </c>
      <c r="L255" s="138" t="s">
        <v>530</v>
      </c>
    </row>
    <row r="256" spans="1:12" ht="15" customHeight="1" thickBot="1">
      <c r="A256" s="80"/>
      <c r="B256" s="107"/>
      <c r="C256" s="109"/>
      <c r="D256" s="99"/>
      <c r="E256" s="84"/>
      <c r="F256" s="84"/>
      <c r="G256" s="144"/>
      <c r="H256" s="113"/>
      <c r="I256" s="115"/>
      <c r="J256" s="117"/>
      <c r="K256" s="117"/>
      <c r="L256" s="140"/>
    </row>
    <row r="257" spans="1:12" ht="15" customHeight="1">
      <c r="A257" s="79" t="s">
        <v>531</v>
      </c>
      <c r="B257" s="106" t="s">
        <v>74</v>
      </c>
      <c r="C257" s="108" t="s">
        <v>10</v>
      </c>
      <c r="D257" s="98" t="s">
        <v>79</v>
      </c>
      <c r="E257" s="83">
        <v>43388</v>
      </c>
      <c r="F257" s="83">
        <v>43570</v>
      </c>
      <c r="G257" s="143">
        <v>65000</v>
      </c>
      <c r="H257" s="112">
        <f>G257/100*18</f>
        <v>11700</v>
      </c>
      <c r="I257" s="114" t="s">
        <v>101</v>
      </c>
      <c r="J257" s="116" t="s">
        <v>115</v>
      </c>
      <c r="K257" s="116" t="s">
        <v>96</v>
      </c>
      <c r="L257" s="138" t="s">
        <v>532</v>
      </c>
    </row>
    <row r="258" spans="1:12" ht="15" customHeight="1" thickBot="1">
      <c r="A258" s="80"/>
      <c r="B258" s="107"/>
      <c r="C258" s="109"/>
      <c r="D258" s="99"/>
      <c r="E258" s="84"/>
      <c r="F258" s="84"/>
      <c r="G258" s="144"/>
      <c r="H258" s="113"/>
      <c r="I258" s="115"/>
      <c r="J258" s="117"/>
      <c r="K258" s="117"/>
      <c r="L258" s="140"/>
    </row>
    <row r="259" spans="1:12" ht="15" customHeight="1">
      <c r="A259" s="79" t="s">
        <v>533</v>
      </c>
      <c r="B259" s="106" t="s">
        <v>534</v>
      </c>
      <c r="C259" s="108" t="s">
        <v>8</v>
      </c>
      <c r="D259" s="98" t="s">
        <v>535</v>
      </c>
      <c r="E259" s="83">
        <v>43396</v>
      </c>
      <c r="F259" s="83">
        <v>44074</v>
      </c>
      <c r="G259" s="143">
        <v>84745.76</v>
      </c>
      <c r="H259" s="112">
        <f>G259/100*18</f>
        <v>15254.236799999999</v>
      </c>
      <c r="I259" s="114" t="s">
        <v>103</v>
      </c>
      <c r="J259" s="116" t="s">
        <v>118</v>
      </c>
      <c r="K259" s="116" t="s">
        <v>96</v>
      </c>
      <c r="L259" s="138" t="s">
        <v>536</v>
      </c>
    </row>
    <row r="260" spans="1:12" ht="15" customHeight="1" thickBot="1">
      <c r="A260" s="80"/>
      <c r="B260" s="107"/>
      <c r="C260" s="109"/>
      <c r="D260" s="99"/>
      <c r="E260" s="84"/>
      <c r="F260" s="84"/>
      <c r="G260" s="144"/>
      <c r="H260" s="113"/>
      <c r="I260" s="115"/>
      <c r="J260" s="117"/>
      <c r="K260" s="117"/>
      <c r="L260" s="140"/>
    </row>
    <row r="261" spans="1:12" ht="15" customHeight="1">
      <c r="A261" s="104" t="s">
        <v>537</v>
      </c>
      <c r="B261" s="146" t="s">
        <v>538</v>
      </c>
      <c r="C261" s="47" t="s">
        <v>10</v>
      </c>
      <c r="D261" s="18" t="s">
        <v>67</v>
      </c>
      <c r="E261" s="83">
        <v>43403</v>
      </c>
      <c r="F261" s="83">
        <v>43465</v>
      </c>
      <c r="G261" s="143">
        <v>15000</v>
      </c>
      <c r="H261" s="112">
        <f>G261/100*18</f>
        <v>2700</v>
      </c>
      <c r="I261" s="49" t="s">
        <v>100</v>
      </c>
      <c r="J261" s="49" t="s">
        <v>108</v>
      </c>
      <c r="K261" s="50" t="s">
        <v>96</v>
      </c>
      <c r="L261" s="138" t="s">
        <v>541</v>
      </c>
    </row>
    <row r="262" spans="1:12" ht="15" customHeight="1">
      <c r="A262" s="145"/>
      <c r="B262" s="147"/>
      <c r="C262" s="43" t="s">
        <v>10</v>
      </c>
      <c r="D262" s="18" t="s">
        <v>75</v>
      </c>
      <c r="E262" s="91"/>
      <c r="F262" s="91"/>
      <c r="G262" s="240"/>
      <c r="H262" s="157"/>
      <c r="I262" s="8" t="s">
        <v>100</v>
      </c>
      <c r="J262" s="8" t="s">
        <v>108</v>
      </c>
      <c r="K262" s="20" t="s">
        <v>96</v>
      </c>
      <c r="L262" s="139"/>
    </row>
    <row r="263" spans="1:12" ht="15" customHeight="1">
      <c r="A263" s="145"/>
      <c r="B263" s="147"/>
      <c r="C263" s="43" t="s">
        <v>26</v>
      </c>
      <c r="D263" s="18" t="s">
        <v>539</v>
      </c>
      <c r="E263" s="91"/>
      <c r="F263" s="91"/>
      <c r="G263" s="240"/>
      <c r="H263" s="157"/>
      <c r="I263" s="8" t="s">
        <v>100</v>
      </c>
      <c r="J263" s="8" t="s">
        <v>108</v>
      </c>
      <c r="K263" s="20" t="s">
        <v>96</v>
      </c>
      <c r="L263" s="139"/>
    </row>
    <row r="264" spans="1:12" ht="15" customHeight="1" thickBot="1">
      <c r="A264" s="105"/>
      <c r="B264" s="148"/>
      <c r="C264" s="55" t="s">
        <v>11</v>
      </c>
      <c r="D264" s="19" t="s">
        <v>540</v>
      </c>
      <c r="E264" s="84"/>
      <c r="F264" s="84"/>
      <c r="G264" s="144"/>
      <c r="H264" s="113"/>
      <c r="I264" s="51" t="s">
        <v>100</v>
      </c>
      <c r="J264" s="51" t="s">
        <v>108</v>
      </c>
      <c r="K264" s="52" t="s">
        <v>96</v>
      </c>
      <c r="L264" s="140"/>
    </row>
    <row r="265" spans="1:12" ht="15" customHeight="1">
      <c r="A265" s="79" t="s">
        <v>542</v>
      </c>
      <c r="B265" s="126" t="s">
        <v>544</v>
      </c>
      <c r="C265" s="160" t="s">
        <v>10</v>
      </c>
      <c r="D265" s="98" t="s">
        <v>19</v>
      </c>
      <c r="E265" s="83">
        <v>43403</v>
      </c>
      <c r="F265" s="83">
        <v>44043</v>
      </c>
      <c r="G265" s="136">
        <v>90000</v>
      </c>
      <c r="H265" s="150">
        <f>G265/100*18</f>
        <v>16200</v>
      </c>
      <c r="I265" s="124" t="s">
        <v>101</v>
      </c>
      <c r="J265" s="100" t="s">
        <v>109</v>
      </c>
      <c r="K265" s="100" t="s">
        <v>96</v>
      </c>
      <c r="L265" s="77" t="s">
        <v>543</v>
      </c>
    </row>
    <row r="266" spans="1:12" ht="15" customHeight="1" thickBot="1">
      <c r="A266" s="80"/>
      <c r="B266" s="127"/>
      <c r="C266" s="133"/>
      <c r="D266" s="99"/>
      <c r="E266" s="92"/>
      <c r="F266" s="84"/>
      <c r="G266" s="137"/>
      <c r="H266" s="151"/>
      <c r="I266" s="125"/>
      <c r="J266" s="101"/>
      <c r="K266" s="101"/>
      <c r="L266" s="78"/>
    </row>
    <row r="267" spans="1:12" ht="15" customHeight="1">
      <c r="A267" s="79" t="s">
        <v>545</v>
      </c>
      <c r="B267" s="81" t="s">
        <v>64</v>
      </c>
      <c r="C267" s="1" t="s">
        <v>10</v>
      </c>
      <c r="D267" s="1" t="s">
        <v>32</v>
      </c>
      <c r="E267" s="128">
        <v>43413</v>
      </c>
      <c r="F267" s="83">
        <v>43474</v>
      </c>
      <c r="G267" s="130">
        <v>55000</v>
      </c>
      <c r="H267" s="85">
        <f>G267/100*18</f>
        <v>9900</v>
      </c>
      <c r="I267" s="14" t="s">
        <v>100</v>
      </c>
      <c r="J267" s="12" t="s">
        <v>108</v>
      </c>
      <c r="K267" s="12" t="s">
        <v>96</v>
      </c>
      <c r="L267" s="77" t="s">
        <v>546</v>
      </c>
    </row>
    <row r="268" spans="1:12" ht="15" customHeight="1" thickBot="1">
      <c r="A268" s="80"/>
      <c r="B268" s="82"/>
      <c r="C268" s="19" t="s">
        <v>8</v>
      </c>
      <c r="D268" s="19" t="s">
        <v>65</v>
      </c>
      <c r="E268" s="129"/>
      <c r="F268" s="84"/>
      <c r="G268" s="131"/>
      <c r="H268" s="86"/>
      <c r="I268" s="15" t="s">
        <v>110</v>
      </c>
      <c r="J268" s="13" t="s">
        <v>114</v>
      </c>
      <c r="K268" s="13" t="s">
        <v>96</v>
      </c>
      <c r="L268" s="78"/>
    </row>
    <row r="269" spans="1:12" ht="15" customHeight="1">
      <c r="A269" s="79" t="s">
        <v>547</v>
      </c>
      <c r="B269" s="126" t="s">
        <v>548</v>
      </c>
      <c r="C269" s="132" t="s">
        <v>10</v>
      </c>
      <c r="D269" s="134" t="s">
        <v>48</v>
      </c>
      <c r="E269" s="83">
        <v>43466</v>
      </c>
      <c r="F269" s="83">
        <v>43830</v>
      </c>
      <c r="G269" s="136">
        <v>99710</v>
      </c>
      <c r="H269" s="93">
        <f>G269/100*18</f>
        <v>17947.8</v>
      </c>
      <c r="I269" s="124" t="s">
        <v>107</v>
      </c>
      <c r="J269" s="100" t="s">
        <v>127</v>
      </c>
      <c r="K269" s="100" t="s">
        <v>96</v>
      </c>
      <c r="L269" s="77" t="s">
        <v>549</v>
      </c>
    </row>
    <row r="270" spans="1:12" ht="15" customHeight="1" thickBot="1">
      <c r="A270" s="80"/>
      <c r="B270" s="127"/>
      <c r="C270" s="133"/>
      <c r="D270" s="135"/>
      <c r="E270" s="92"/>
      <c r="F270" s="92"/>
      <c r="G270" s="137"/>
      <c r="H270" s="95"/>
      <c r="I270" s="125"/>
      <c r="J270" s="101"/>
      <c r="K270" s="101"/>
      <c r="L270" s="78"/>
    </row>
    <row r="271" spans="1:12" ht="15" customHeight="1">
      <c r="A271" s="79" t="s">
        <v>550</v>
      </c>
      <c r="B271" s="126" t="s">
        <v>551</v>
      </c>
      <c r="C271" s="132" t="s">
        <v>10</v>
      </c>
      <c r="D271" s="134" t="s">
        <v>75</v>
      </c>
      <c r="E271" s="83">
        <v>43417</v>
      </c>
      <c r="F271" s="83">
        <v>43568</v>
      </c>
      <c r="G271" s="136">
        <v>10800</v>
      </c>
      <c r="H271" s="93">
        <f>G271/100*18</f>
        <v>1944</v>
      </c>
      <c r="I271" s="124" t="s">
        <v>100</v>
      </c>
      <c r="J271" s="100" t="s">
        <v>108</v>
      </c>
      <c r="K271" s="100" t="s">
        <v>96</v>
      </c>
      <c r="L271" s="77" t="s">
        <v>552</v>
      </c>
    </row>
    <row r="272" spans="1:12" ht="15" customHeight="1" thickBot="1">
      <c r="A272" s="80"/>
      <c r="B272" s="127"/>
      <c r="C272" s="133"/>
      <c r="D272" s="135"/>
      <c r="E272" s="92"/>
      <c r="F272" s="92"/>
      <c r="G272" s="137"/>
      <c r="H272" s="95"/>
      <c r="I272" s="125"/>
      <c r="J272" s="101"/>
      <c r="K272" s="101"/>
      <c r="L272" s="78"/>
    </row>
    <row r="273" spans="1:12" ht="15" customHeight="1">
      <c r="A273" s="79" t="s">
        <v>553</v>
      </c>
      <c r="B273" s="126" t="s">
        <v>554</v>
      </c>
      <c r="C273" s="98" t="s">
        <v>10</v>
      </c>
      <c r="D273" s="98" t="s">
        <v>47</v>
      </c>
      <c r="E273" s="83">
        <v>43419</v>
      </c>
      <c r="F273" s="83">
        <v>43463</v>
      </c>
      <c r="G273" s="136">
        <v>35000</v>
      </c>
      <c r="H273" s="154">
        <f>G273/100*18</f>
        <v>6300</v>
      </c>
      <c r="I273" s="124" t="s">
        <v>101</v>
      </c>
      <c r="J273" s="100" t="s">
        <v>109</v>
      </c>
      <c r="K273" s="100" t="s">
        <v>96</v>
      </c>
      <c r="L273" s="77" t="s">
        <v>555</v>
      </c>
    </row>
    <row r="274" spans="1:12" ht="15" customHeight="1" thickBot="1">
      <c r="A274" s="80"/>
      <c r="B274" s="127"/>
      <c r="C274" s="99"/>
      <c r="D274" s="99"/>
      <c r="E274" s="84"/>
      <c r="F274" s="84"/>
      <c r="G274" s="137"/>
      <c r="H274" s="155"/>
      <c r="I274" s="125"/>
      <c r="J274" s="101"/>
      <c r="K274" s="101"/>
      <c r="L274" s="78"/>
    </row>
    <row r="275" spans="1:12" ht="15" customHeight="1">
      <c r="A275" s="220" t="s">
        <v>556</v>
      </c>
      <c r="B275" s="223" t="s">
        <v>193</v>
      </c>
      <c r="C275" s="10" t="s">
        <v>8</v>
      </c>
      <c r="D275" s="10" t="s">
        <v>23</v>
      </c>
      <c r="E275" s="128">
        <v>43420</v>
      </c>
      <c r="F275" s="128">
        <v>43830</v>
      </c>
      <c r="G275" s="130">
        <v>264480</v>
      </c>
      <c r="H275" s="85">
        <f>G275/100*18</f>
        <v>47606.400000000001</v>
      </c>
      <c r="I275" s="14" t="s">
        <v>110</v>
      </c>
      <c r="J275" s="12" t="s">
        <v>111</v>
      </c>
      <c r="K275" s="12" t="s">
        <v>96</v>
      </c>
      <c r="L275" s="77" t="s">
        <v>557</v>
      </c>
    </row>
    <row r="276" spans="1:12" ht="15" customHeight="1">
      <c r="A276" s="221"/>
      <c r="B276" s="224"/>
      <c r="C276" s="3" t="s">
        <v>8</v>
      </c>
      <c r="D276" s="18" t="s">
        <v>27</v>
      </c>
      <c r="E276" s="226"/>
      <c r="F276" s="226"/>
      <c r="G276" s="263"/>
      <c r="H276" s="96"/>
      <c r="I276" s="8" t="s">
        <v>110</v>
      </c>
      <c r="J276" s="20" t="s">
        <v>111</v>
      </c>
      <c r="K276" s="20" t="s">
        <v>96</v>
      </c>
      <c r="L276" s="97"/>
    </row>
    <row r="277" spans="1:12" ht="15" customHeight="1" thickBot="1">
      <c r="A277" s="222"/>
      <c r="B277" s="225"/>
      <c r="C277" s="11" t="s">
        <v>12</v>
      </c>
      <c r="D277" s="11" t="s">
        <v>28</v>
      </c>
      <c r="E277" s="129"/>
      <c r="F277" s="129"/>
      <c r="G277" s="131"/>
      <c r="H277" s="86"/>
      <c r="I277" s="8" t="s">
        <v>110</v>
      </c>
      <c r="J277" s="20" t="s">
        <v>111</v>
      </c>
      <c r="K277" s="20" t="s">
        <v>96</v>
      </c>
      <c r="L277" s="78"/>
    </row>
    <row r="278" spans="1:12" ht="15" customHeight="1">
      <c r="A278" s="220" t="s">
        <v>558</v>
      </c>
      <c r="B278" s="274" t="s">
        <v>559</v>
      </c>
      <c r="C278" s="10" t="s">
        <v>10</v>
      </c>
      <c r="D278" s="10" t="s">
        <v>61</v>
      </c>
      <c r="E278" s="128">
        <v>43427</v>
      </c>
      <c r="F278" s="128">
        <v>43488</v>
      </c>
      <c r="G278" s="130">
        <v>42300</v>
      </c>
      <c r="H278" s="85">
        <f>G278/100*18</f>
        <v>7614</v>
      </c>
      <c r="I278" s="14" t="s">
        <v>110</v>
      </c>
      <c r="J278" s="12" t="s">
        <v>117</v>
      </c>
      <c r="K278" s="12" t="s">
        <v>96</v>
      </c>
      <c r="L278" s="218" t="s">
        <v>562</v>
      </c>
    </row>
    <row r="279" spans="1:12" ht="15" customHeight="1">
      <c r="A279" s="221"/>
      <c r="B279" s="275"/>
      <c r="C279" s="3" t="s">
        <v>30</v>
      </c>
      <c r="D279" s="18" t="s">
        <v>560</v>
      </c>
      <c r="E279" s="226"/>
      <c r="F279" s="226"/>
      <c r="G279" s="263"/>
      <c r="H279" s="96"/>
      <c r="I279" s="8" t="s">
        <v>124</v>
      </c>
      <c r="J279" s="20" t="s">
        <v>119</v>
      </c>
      <c r="K279" s="20" t="s">
        <v>125</v>
      </c>
      <c r="L279" s="139"/>
    </row>
    <row r="280" spans="1:12" ht="15" customHeight="1" thickBot="1">
      <c r="A280" s="222"/>
      <c r="B280" s="276"/>
      <c r="C280" s="11" t="s">
        <v>12</v>
      </c>
      <c r="D280" s="11" t="s">
        <v>561</v>
      </c>
      <c r="E280" s="129"/>
      <c r="F280" s="129"/>
      <c r="G280" s="131"/>
      <c r="H280" s="86"/>
      <c r="I280" s="15" t="s">
        <v>110</v>
      </c>
      <c r="J280" s="13" t="s">
        <v>117</v>
      </c>
      <c r="K280" s="13" t="s">
        <v>96</v>
      </c>
      <c r="L280" s="219"/>
    </row>
    <row r="281" spans="1:12" ht="20.100000000000001" customHeight="1">
      <c r="A281" s="277" t="s">
        <v>563</v>
      </c>
      <c r="B281" s="203" t="s">
        <v>564</v>
      </c>
      <c r="C281" s="249" t="s">
        <v>437</v>
      </c>
      <c r="D281" s="251" t="s">
        <v>58</v>
      </c>
      <c r="E281" s="253">
        <v>43427</v>
      </c>
      <c r="F281" s="253" t="s">
        <v>565</v>
      </c>
      <c r="G281" s="255">
        <v>85000</v>
      </c>
      <c r="H281" s="257">
        <f>G281/100*18</f>
        <v>15300</v>
      </c>
      <c r="I281" s="249" t="s">
        <v>110</v>
      </c>
      <c r="J281" s="259" t="s">
        <v>126</v>
      </c>
      <c r="K281" s="259" t="s">
        <v>96</v>
      </c>
      <c r="L281" s="261" t="s">
        <v>566</v>
      </c>
    </row>
    <row r="282" spans="1:12" ht="15" customHeight="1" thickBot="1">
      <c r="A282" s="278"/>
      <c r="B282" s="279"/>
      <c r="C282" s="250"/>
      <c r="D282" s="252"/>
      <c r="E282" s="254"/>
      <c r="F282" s="254"/>
      <c r="G282" s="256"/>
      <c r="H282" s="258"/>
      <c r="I282" s="250"/>
      <c r="J282" s="260"/>
      <c r="K282" s="260"/>
      <c r="L282" s="262"/>
    </row>
    <row r="283" spans="1:12" ht="15" customHeight="1">
      <c r="A283" s="79" t="s">
        <v>567</v>
      </c>
      <c r="B283" s="126" t="s">
        <v>568</v>
      </c>
      <c r="C283" s="160" t="s">
        <v>8</v>
      </c>
      <c r="D283" s="98" t="s">
        <v>46</v>
      </c>
      <c r="E283" s="83">
        <v>43449</v>
      </c>
      <c r="F283" s="83">
        <v>43578</v>
      </c>
      <c r="G283" s="93">
        <v>25000</v>
      </c>
      <c r="H283" s="150">
        <f>G283/100*18</f>
        <v>4500</v>
      </c>
      <c r="I283" s="124" t="s">
        <v>569</v>
      </c>
      <c r="J283" s="100" t="s">
        <v>111</v>
      </c>
      <c r="K283" s="100" t="s">
        <v>112</v>
      </c>
      <c r="L283" s="77" t="s">
        <v>570</v>
      </c>
    </row>
    <row r="284" spans="1:12" ht="15" customHeight="1" thickBot="1">
      <c r="A284" s="80"/>
      <c r="B284" s="127"/>
      <c r="C284" s="133"/>
      <c r="D284" s="99"/>
      <c r="E284" s="92"/>
      <c r="F284" s="84"/>
      <c r="G284" s="95"/>
      <c r="H284" s="151"/>
      <c r="I284" s="125"/>
      <c r="J284" s="101"/>
      <c r="K284" s="101"/>
      <c r="L284" s="78"/>
    </row>
    <row r="285" spans="1:12" ht="15" customHeight="1">
      <c r="A285" s="79" t="s">
        <v>571</v>
      </c>
      <c r="B285" s="122" t="s">
        <v>572</v>
      </c>
      <c r="C285" s="124" t="s">
        <v>10</v>
      </c>
      <c r="D285" s="98" t="s">
        <v>43</v>
      </c>
      <c r="E285" s="83">
        <v>43466</v>
      </c>
      <c r="F285" s="83">
        <v>43769</v>
      </c>
      <c r="G285" s="93">
        <v>105000</v>
      </c>
      <c r="H285" s="85">
        <f>G285/100*18</f>
        <v>18900</v>
      </c>
      <c r="I285" s="124" t="s">
        <v>110</v>
      </c>
      <c r="J285" s="100" t="s">
        <v>273</v>
      </c>
      <c r="K285" s="100" t="s">
        <v>272</v>
      </c>
      <c r="L285" s="77" t="s">
        <v>573</v>
      </c>
    </row>
    <row r="286" spans="1:12" ht="15" customHeight="1" thickBot="1">
      <c r="A286" s="80"/>
      <c r="B286" s="123"/>
      <c r="C286" s="125"/>
      <c r="D286" s="99"/>
      <c r="E286" s="92"/>
      <c r="F286" s="92"/>
      <c r="G286" s="95"/>
      <c r="H286" s="86"/>
      <c r="I286" s="125"/>
      <c r="J286" s="101"/>
      <c r="K286" s="101"/>
      <c r="L286" s="78"/>
    </row>
    <row r="287" spans="1:12" ht="15" customHeight="1">
      <c r="A287" s="79" t="s">
        <v>574</v>
      </c>
      <c r="B287" s="122" t="s">
        <v>575</v>
      </c>
      <c r="C287" s="160" t="s">
        <v>8</v>
      </c>
      <c r="D287" s="98" t="s">
        <v>34</v>
      </c>
      <c r="E287" s="83">
        <v>43467</v>
      </c>
      <c r="F287" s="83">
        <v>43830</v>
      </c>
      <c r="G287" s="93">
        <v>48000</v>
      </c>
      <c r="H287" s="85">
        <f>G287*0.18</f>
        <v>8640</v>
      </c>
      <c r="I287" s="124" t="s">
        <v>110</v>
      </c>
      <c r="J287" s="100" t="s">
        <v>111</v>
      </c>
      <c r="K287" s="100" t="s">
        <v>96</v>
      </c>
      <c r="L287" s="77" t="s">
        <v>576</v>
      </c>
    </row>
    <row r="288" spans="1:12" ht="15" customHeight="1" thickBot="1">
      <c r="A288" s="80"/>
      <c r="B288" s="123"/>
      <c r="C288" s="133"/>
      <c r="D288" s="99"/>
      <c r="E288" s="92"/>
      <c r="F288" s="84"/>
      <c r="G288" s="95"/>
      <c r="H288" s="86"/>
      <c r="I288" s="125"/>
      <c r="J288" s="101"/>
      <c r="K288" s="101"/>
      <c r="L288" s="78"/>
    </row>
    <row r="289" spans="1:12" ht="15" customHeight="1">
      <c r="A289" s="79" t="s">
        <v>577</v>
      </c>
      <c r="B289" s="126" t="s">
        <v>578</v>
      </c>
      <c r="C289" s="132" t="s">
        <v>26</v>
      </c>
      <c r="D289" s="134" t="s">
        <v>230</v>
      </c>
      <c r="E289" s="83">
        <v>43466</v>
      </c>
      <c r="F289" s="83">
        <v>43830</v>
      </c>
      <c r="G289" s="93">
        <v>27000</v>
      </c>
      <c r="H289" s="93">
        <f>G289*0.18</f>
        <v>4860</v>
      </c>
      <c r="I289" s="124" t="s">
        <v>110</v>
      </c>
      <c r="J289" s="100" t="s">
        <v>126</v>
      </c>
      <c r="K289" s="100" t="s">
        <v>96</v>
      </c>
      <c r="L289" s="77" t="s">
        <v>579</v>
      </c>
    </row>
    <row r="290" spans="1:12" ht="15" customHeight="1" thickBot="1">
      <c r="A290" s="80"/>
      <c r="B290" s="127"/>
      <c r="C290" s="133"/>
      <c r="D290" s="135"/>
      <c r="E290" s="92"/>
      <c r="F290" s="84"/>
      <c r="G290" s="95"/>
      <c r="H290" s="95"/>
      <c r="I290" s="125"/>
      <c r="J290" s="101"/>
      <c r="K290" s="101"/>
      <c r="L290" s="78"/>
    </row>
    <row r="291" spans="1:12" ht="15" customHeight="1">
      <c r="A291" s="79" t="s">
        <v>580</v>
      </c>
      <c r="B291" s="122" t="s">
        <v>581</v>
      </c>
      <c r="C291" s="77" t="s">
        <v>437</v>
      </c>
      <c r="D291" s="98" t="s">
        <v>16</v>
      </c>
      <c r="E291" s="83">
        <v>43480</v>
      </c>
      <c r="F291" s="83">
        <v>40193</v>
      </c>
      <c r="G291" s="93">
        <v>86400</v>
      </c>
      <c r="H291" s="85">
        <f>G291/100*18</f>
        <v>15552</v>
      </c>
      <c r="I291" s="124" t="s">
        <v>100</v>
      </c>
      <c r="J291" s="100" t="s">
        <v>108</v>
      </c>
      <c r="K291" s="100" t="s">
        <v>96</v>
      </c>
      <c r="L291" s="77" t="s">
        <v>582</v>
      </c>
    </row>
    <row r="292" spans="1:12" ht="15" customHeight="1" thickBot="1">
      <c r="A292" s="80"/>
      <c r="B292" s="123"/>
      <c r="C292" s="78"/>
      <c r="D292" s="99"/>
      <c r="E292" s="92"/>
      <c r="F292" s="84"/>
      <c r="G292" s="95"/>
      <c r="H292" s="86"/>
      <c r="I292" s="125"/>
      <c r="J292" s="101"/>
      <c r="K292" s="101"/>
      <c r="L292" s="78"/>
    </row>
    <row r="293" spans="1:12" ht="15" customHeight="1">
      <c r="A293" s="221" t="s">
        <v>583</v>
      </c>
      <c r="B293" s="224" t="s">
        <v>584</v>
      </c>
      <c r="C293" s="3" t="s">
        <v>8</v>
      </c>
      <c r="D293" s="18" t="s">
        <v>27</v>
      </c>
      <c r="E293" s="83">
        <v>43480</v>
      </c>
      <c r="F293" s="226">
        <v>43646</v>
      </c>
      <c r="G293" s="96">
        <v>45000</v>
      </c>
      <c r="H293" s="96">
        <f>G293*0.18</f>
        <v>8100</v>
      </c>
      <c r="I293" s="14" t="s">
        <v>110</v>
      </c>
      <c r="J293" s="12" t="s">
        <v>111</v>
      </c>
      <c r="K293" s="12" t="s">
        <v>96</v>
      </c>
      <c r="L293" s="77" t="s">
        <v>585</v>
      </c>
    </row>
    <row r="294" spans="1:12" ht="15" customHeight="1" thickBot="1">
      <c r="A294" s="222"/>
      <c r="B294" s="225"/>
      <c r="C294" s="11" t="s">
        <v>437</v>
      </c>
      <c r="D294" s="11" t="s">
        <v>28</v>
      </c>
      <c r="E294" s="92"/>
      <c r="F294" s="129"/>
      <c r="G294" s="86"/>
      <c r="H294" s="86"/>
      <c r="I294" s="15" t="s">
        <v>110</v>
      </c>
      <c r="J294" s="13" t="s">
        <v>111</v>
      </c>
      <c r="K294" s="13" t="s">
        <v>96</v>
      </c>
      <c r="L294" s="78"/>
    </row>
    <row r="295" spans="1:12" ht="15" customHeight="1">
      <c r="A295" s="79" t="s">
        <v>586</v>
      </c>
      <c r="B295" s="126" t="s">
        <v>587</v>
      </c>
      <c r="C295" s="1" t="s">
        <v>10</v>
      </c>
      <c r="D295" s="5" t="s">
        <v>19</v>
      </c>
      <c r="E295" s="83">
        <v>43507</v>
      </c>
      <c r="F295" s="83">
        <v>43566</v>
      </c>
      <c r="G295" s="93">
        <v>45600</v>
      </c>
      <c r="H295" s="102">
        <f>G295/100*18</f>
        <v>8208</v>
      </c>
      <c r="I295" s="35" t="s">
        <v>100</v>
      </c>
      <c r="J295" s="12" t="s">
        <v>108</v>
      </c>
      <c r="K295" s="12" t="s">
        <v>96</v>
      </c>
      <c r="L295" s="77" t="s">
        <v>589</v>
      </c>
    </row>
    <row r="296" spans="1:12" ht="15" customHeight="1" thickBot="1">
      <c r="A296" s="80"/>
      <c r="B296" s="127"/>
      <c r="C296" s="19" t="s">
        <v>8</v>
      </c>
      <c r="D296" s="33" t="s">
        <v>588</v>
      </c>
      <c r="E296" s="92"/>
      <c r="F296" s="84"/>
      <c r="G296" s="95"/>
      <c r="H296" s="103"/>
      <c r="I296" s="41" t="s">
        <v>124</v>
      </c>
      <c r="J296" s="13" t="s">
        <v>109</v>
      </c>
      <c r="K296" s="13" t="s">
        <v>98</v>
      </c>
      <c r="L296" s="78"/>
    </row>
    <row r="297" spans="1:12" ht="15" customHeight="1">
      <c r="A297" s="79" t="s">
        <v>590</v>
      </c>
      <c r="B297" s="106" t="s">
        <v>591</v>
      </c>
      <c r="C297" s="108" t="s">
        <v>10</v>
      </c>
      <c r="D297" s="98" t="s">
        <v>15</v>
      </c>
      <c r="E297" s="83">
        <v>43507</v>
      </c>
      <c r="F297" s="83">
        <v>43872</v>
      </c>
      <c r="G297" s="143">
        <v>35304</v>
      </c>
      <c r="H297" s="272">
        <f>G297/100*18</f>
        <v>6354.72</v>
      </c>
      <c r="I297" s="114" t="s">
        <v>101</v>
      </c>
      <c r="J297" s="116" t="s">
        <v>115</v>
      </c>
      <c r="K297" s="116" t="s">
        <v>96</v>
      </c>
      <c r="L297" s="138" t="s">
        <v>592</v>
      </c>
    </row>
    <row r="298" spans="1:12" ht="15" customHeight="1" thickBot="1">
      <c r="A298" s="80"/>
      <c r="B298" s="107"/>
      <c r="C298" s="109"/>
      <c r="D298" s="99"/>
      <c r="E298" s="84"/>
      <c r="F298" s="84"/>
      <c r="G298" s="144"/>
      <c r="H298" s="273"/>
      <c r="I298" s="115"/>
      <c r="J298" s="117"/>
      <c r="K298" s="117"/>
      <c r="L298" s="140"/>
    </row>
    <row r="299" spans="1:12" ht="15" customHeight="1">
      <c r="A299" s="79" t="s">
        <v>593</v>
      </c>
      <c r="B299" s="126" t="s">
        <v>599</v>
      </c>
      <c r="C299" s="1" t="s">
        <v>8</v>
      </c>
      <c r="D299" s="5" t="s">
        <v>85</v>
      </c>
      <c r="E299" s="83">
        <v>43510</v>
      </c>
      <c r="F299" s="83">
        <v>43569</v>
      </c>
      <c r="G299" s="93">
        <v>100000</v>
      </c>
      <c r="H299" s="102">
        <f>G299/100*18</f>
        <v>18000</v>
      </c>
      <c r="I299" s="35" t="s">
        <v>101</v>
      </c>
      <c r="J299" s="12" t="s">
        <v>116</v>
      </c>
      <c r="K299" s="12" t="s">
        <v>96</v>
      </c>
      <c r="L299" s="77" t="s">
        <v>601</v>
      </c>
    </row>
    <row r="300" spans="1:12" ht="15" customHeight="1" thickBot="1">
      <c r="A300" s="80"/>
      <c r="B300" s="127"/>
      <c r="C300" s="19" t="s">
        <v>8</v>
      </c>
      <c r="D300" s="33" t="s">
        <v>600</v>
      </c>
      <c r="E300" s="84"/>
      <c r="F300" s="84"/>
      <c r="G300" s="95"/>
      <c r="H300" s="103"/>
      <c r="I300" s="41" t="s">
        <v>101</v>
      </c>
      <c r="J300" s="13" t="s">
        <v>116</v>
      </c>
      <c r="K300" s="13" t="s">
        <v>96</v>
      </c>
      <c r="L300" s="78"/>
    </row>
    <row r="301" spans="1:12" ht="15" customHeight="1">
      <c r="A301" s="79" t="s">
        <v>598</v>
      </c>
      <c r="B301" s="126" t="s">
        <v>603</v>
      </c>
      <c r="C301" s="98" t="s">
        <v>10</v>
      </c>
      <c r="D301" s="98" t="s">
        <v>18</v>
      </c>
      <c r="E301" s="83">
        <v>43525</v>
      </c>
      <c r="F301" s="83">
        <v>43881</v>
      </c>
      <c r="G301" s="93">
        <v>50000</v>
      </c>
      <c r="H301" s="102">
        <f>G301/100*18</f>
        <v>9000</v>
      </c>
      <c r="I301" s="77" t="s">
        <v>101</v>
      </c>
      <c r="J301" s="100" t="s">
        <v>109</v>
      </c>
      <c r="K301" s="12" t="s">
        <v>96</v>
      </c>
      <c r="L301" s="77" t="s">
        <v>604</v>
      </c>
    </row>
    <row r="302" spans="1:12" ht="15" customHeight="1" thickBot="1">
      <c r="A302" s="80"/>
      <c r="B302" s="127"/>
      <c r="C302" s="99"/>
      <c r="D302" s="99"/>
      <c r="E302" s="84"/>
      <c r="F302" s="84"/>
      <c r="G302" s="95"/>
      <c r="H302" s="103"/>
      <c r="I302" s="78"/>
      <c r="J302" s="101"/>
      <c r="K302" s="13" t="s">
        <v>96</v>
      </c>
      <c r="L302" s="78"/>
    </row>
    <row r="303" spans="1:12" ht="15" customHeight="1">
      <c r="A303" s="79" t="s">
        <v>602</v>
      </c>
      <c r="B303" s="81" t="s">
        <v>95</v>
      </c>
      <c r="C303" s="1" t="s">
        <v>10</v>
      </c>
      <c r="D303" s="1" t="s">
        <v>32</v>
      </c>
      <c r="E303" s="128">
        <v>43511</v>
      </c>
      <c r="F303" s="83">
        <v>43600</v>
      </c>
      <c r="G303" s="85">
        <v>45000</v>
      </c>
      <c r="H303" s="85">
        <f>G303/100*18</f>
        <v>8100</v>
      </c>
      <c r="I303" s="14" t="s">
        <v>100</v>
      </c>
      <c r="J303" s="12" t="s">
        <v>108</v>
      </c>
      <c r="K303" s="12" t="s">
        <v>96</v>
      </c>
      <c r="L303" s="77" t="s">
        <v>605</v>
      </c>
    </row>
    <row r="304" spans="1:12" ht="15" customHeight="1" thickBot="1">
      <c r="A304" s="80"/>
      <c r="B304" s="82"/>
      <c r="C304" s="19" t="s">
        <v>8</v>
      </c>
      <c r="D304" s="19" t="s">
        <v>65</v>
      </c>
      <c r="E304" s="129"/>
      <c r="F304" s="84"/>
      <c r="G304" s="86"/>
      <c r="H304" s="86"/>
      <c r="I304" s="15" t="s">
        <v>110</v>
      </c>
      <c r="J304" s="13" t="s">
        <v>114</v>
      </c>
      <c r="K304" s="13" t="s">
        <v>96</v>
      </c>
      <c r="L304" s="78"/>
    </row>
    <row r="305" spans="1:12" ht="15" customHeight="1">
      <c r="A305" s="79" t="s">
        <v>606</v>
      </c>
      <c r="B305" s="126" t="s">
        <v>594</v>
      </c>
      <c r="C305" s="1" t="s">
        <v>10</v>
      </c>
      <c r="D305" s="5" t="s">
        <v>595</v>
      </c>
      <c r="E305" s="83">
        <v>43507</v>
      </c>
      <c r="F305" s="83">
        <v>43738</v>
      </c>
      <c r="G305" s="93">
        <v>56250</v>
      </c>
      <c r="H305" s="102">
        <f>G305/100*18</f>
        <v>10125</v>
      </c>
      <c r="I305" s="35" t="s">
        <v>100</v>
      </c>
      <c r="J305" s="12" t="s">
        <v>108</v>
      </c>
      <c r="K305" s="12" t="s">
        <v>96</v>
      </c>
      <c r="L305" s="77" t="s">
        <v>597</v>
      </c>
    </row>
    <row r="306" spans="1:12" ht="15" customHeight="1" thickBot="1">
      <c r="A306" s="80"/>
      <c r="B306" s="127"/>
      <c r="C306" s="19" t="s">
        <v>11</v>
      </c>
      <c r="D306" s="33" t="s">
        <v>596</v>
      </c>
      <c r="E306" s="84"/>
      <c r="F306" s="84"/>
      <c r="G306" s="95"/>
      <c r="H306" s="103"/>
      <c r="I306" s="41" t="s">
        <v>100</v>
      </c>
      <c r="J306" s="13" t="s">
        <v>108</v>
      </c>
      <c r="K306" s="13" t="s">
        <v>96</v>
      </c>
      <c r="L306" s="78"/>
    </row>
    <row r="307" spans="1:12" ht="15" customHeight="1">
      <c r="A307" s="104" t="s">
        <v>607</v>
      </c>
      <c r="B307" s="106" t="s">
        <v>608</v>
      </c>
      <c r="C307" s="108" t="s">
        <v>10</v>
      </c>
      <c r="D307" s="98" t="s">
        <v>93</v>
      </c>
      <c r="E307" s="83">
        <v>43525</v>
      </c>
      <c r="F307" s="83">
        <v>43862</v>
      </c>
      <c r="G307" s="110">
        <v>41400</v>
      </c>
      <c r="H307" s="112">
        <f>G307/100*18</f>
        <v>7452</v>
      </c>
      <c r="I307" s="114" t="s">
        <v>103</v>
      </c>
      <c r="J307" s="116" t="s">
        <v>118</v>
      </c>
      <c r="K307" s="116" t="s">
        <v>96</v>
      </c>
      <c r="L307" s="138" t="s">
        <v>612</v>
      </c>
    </row>
    <row r="308" spans="1:12" ht="15" customHeight="1" thickBot="1">
      <c r="A308" s="105"/>
      <c r="B308" s="107"/>
      <c r="C308" s="109"/>
      <c r="D308" s="99"/>
      <c r="E308" s="84"/>
      <c r="F308" s="84"/>
      <c r="G308" s="111"/>
      <c r="H308" s="113"/>
      <c r="I308" s="115"/>
      <c r="J308" s="117"/>
      <c r="K308" s="117"/>
      <c r="L308" s="140"/>
    </row>
    <row r="309" spans="1:12" ht="15" customHeight="1">
      <c r="A309" s="264" t="s">
        <v>610</v>
      </c>
      <c r="B309" s="266" t="s">
        <v>611</v>
      </c>
      <c r="C309" s="268" t="s">
        <v>10</v>
      </c>
      <c r="D309" s="270" t="s">
        <v>93</v>
      </c>
      <c r="E309" s="118">
        <v>43525</v>
      </c>
      <c r="F309" s="118">
        <v>43678</v>
      </c>
      <c r="G309" s="120">
        <v>186875</v>
      </c>
      <c r="H309" s="120" t="s">
        <v>609</v>
      </c>
      <c r="I309" s="285" t="s">
        <v>103</v>
      </c>
      <c r="J309" s="287" t="s">
        <v>118</v>
      </c>
      <c r="K309" s="287" t="s">
        <v>96</v>
      </c>
      <c r="L309" s="289" t="s">
        <v>613</v>
      </c>
    </row>
    <row r="310" spans="1:12" ht="15" customHeight="1" thickBot="1">
      <c r="A310" s="265"/>
      <c r="B310" s="267"/>
      <c r="C310" s="269"/>
      <c r="D310" s="271"/>
      <c r="E310" s="119"/>
      <c r="F310" s="119"/>
      <c r="G310" s="121"/>
      <c r="H310" s="121"/>
      <c r="I310" s="286"/>
      <c r="J310" s="288"/>
      <c r="K310" s="288"/>
      <c r="L310" s="290"/>
    </row>
    <row r="311" spans="1:12" ht="15" customHeight="1">
      <c r="A311" s="264" t="s">
        <v>614</v>
      </c>
      <c r="B311" s="266" t="s">
        <v>615</v>
      </c>
      <c r="C311" s="268" t="s">
        <v>8</v>
      </c>
      <c r="D311" s="270" t="s">
        <v>616</v>
      </c>
      <c r="E311" s="118">
        <v>43525</v>
      </c>
      <c r="F311" s="118">
        <v>43889</v>
      </c>
      <c r="G311" s="120">
        <v>99995</v>
      </c>
      <c r="H311" s="120">
        <f>G311/100*18</f>
        <v>17999.100000000002</v>
      </c>
      <c r="I311" s="285" t="s">
        <v>100</v>
      </c>
      <c r="J311" s="287" t="s">
        <v>108</v>
      </c>
      <c r="K311" s="287" t="s">
        <v>96</v>
      </c>
      <c r="L311" s="289" t="s">
        <v>617</v>
      </c>
    </row>
    <row r="312" spans="1:12" ht="15" customHeight="1" thickBot="1">
      <c r="A312" s="265"/>
      <c r="B312" s="267"/>
      <c r="C312" s="269"/>
      <c r="D312" s="271"/>
      <c r="E312" s="119"/>
      <c r="F312" s="291"/>
      <c r="G312" s="121"/>
      <c r="H312" s="121"/>
      <c r="I312" s="286"/>
      <c r="J312" s="288"/>
      <c r="K312" s="288"/>
      <c r="L312" s="290"/>
    </row>
    <row r="313" spans="1:12" ht="15" customHeight="1">
      <c r="A313" s="264" t="s">
        <v>618</v>
      </c>
      <c r="B313" s="266" t="s">
        <v>499</v>
      </c>
      <c r="C313" s="268" t="s">
        <v>10</v>
      </c>
      <c r="D313" s="270" t="s">
        <v>619</v>
      </c>
      <c r="E313" s="118">
        <v>43539</v>
      </c>
      <c r="F313" s="118">
        <v>43784</v>
      </c>
      <c r="G313" s="283">
        <v>64400</v>
      </c>
      <c r="H313" s="120">
        <f>G313/100*18</f>
        <v>11592</v>
      </c>
      <c r="I313" s="285" t="s">
        <v>124</v>
      </c>
      <c r="J313" s="287" t="s">
        <v>113</v>
      </c>
      <c r="K313" s="287" t="s">
        <v>98</v>
      </c>
      <c r="L313" s="289" t="s">
        <v>620</v>
      </c>
    </row>
    <row r="314" spans="1:12" ht="15" customHeight="1" thickBot="1">
      <c r="A314" s="265"/>
      <c r="B314" s="282"/>
      <c r="C314" s="269"/>
      <c r="D314" s="271"/>
      <c r="E314" s="119"/>
      <c r="F314" s="119"/>
      <c r="G314" s="284"/>
      <c r="H314" s="121"/>
      <c r="I314" s="286"/>
      <c r="J314" s="288"/>
      <c r="K314" s="288"/>
      <c r="L314" s="290"/>
    </row>
    <row r="315" spans="1:12" ht="15" customHeight="1">
      <c r="A315" s="104" t="s">
        <v>621</v>
      </c>
      <c r="B315" s="280" t="s">
        <v>623</v>
      </c>
      <c r="C315" s="62" t="s">
        <v>30</v>
      </c>
      <c r="D315" s="18" t="s">
        <v>14</v>
      </c>
      <c r="E315" s="83">
        <v>43539</v>
      </c>
      <c r="F315" s="83">
        <v>43661</v>
      </c>
      <c r="G315" s="143">
        <v>64000</v>
      </c>
      <c r="H315" s="112">
        <f>G315/100*18</f>
        <v>11520</v>
      </c>
      <c r="I315" s="49" t="s">
        <v>100</v>
      </c>
      <c r="J315" s="49" t="s">
        <v>108</v>
      </c>
      <c r="K315" s="50" t="s">
        <v>96</v>
      </c>
      <c r="L315" s="138" t="s">
        <v>626</v>
      </c>
    </row>
    <row r="316" spans="1:12" ht="15" customHeight="1">
      <c r="A316" s="145"/>
      <c r="B316" s="89"/>
      <c r="C316" s="46" t="s">
        <v>30</v>
      </c>
      <c r="D316" s="18" t="s">
        <v>63</v>
      </c>
      <c r="E316" s="91"/>
      <c r="F316" s="91"/>
      <c r="G316" s="240"/>
      <c r="H316" s="157"/>
      <c r="I316" s="8" t="s">
        <v>122</v>
      </c>
      <c r="J316" s="8" t="s">
        <v>123</v>
      </c>
      <c r="K316" s="20" t="s">
        <v>96</v>
      </c>
      <c r="L316" s="139"/>
    </row>
    <row r="317" spans="1:12" ht="15" customHeight="1">
      <c r="A317" s="145"/>
      <c r="B317" s="89"/>
      <c r="C317" s="46" t="s">
        <v>11</v>
      </c>
      <c r="D317" s="18" t="s">
        <v>62</v>
      </c>
      <c r="E317" s="91"/>
      <c r="F317" s="91"/>
      <c r="G317" s="240"/>
      <c r="H317" s="157"/>
      <c r="I317" s="8" t="s">
        <v>100</v>
      </c>
      <c r="J317" s="8" t="s">
        <v>108</v>
      </c>
      <c r="K317" s="20" t="s">
        <v>96</v>
      </c>
      <c r="L317" s="139"/>
    </row>
    <row r="318" spans="1:12" ht="15" customHeight="1" thickBot="1">
      <c r="A318" s="105"/>
      <c r="B318" s="281"/>
      <c r="C318" s="63" t="s">
        <v>11</v>
      </c>
      <c r="D318" s="19" t="s">
        <v>625</v>
      </c>
      <c r="E318" s="84"/>
      <c r="F318" s="84"/>
      <c r="G318" s="144"/>
      <c r="H318" s="113"/>
      <c r="I318" s="51" t="s">
        <v>124</v>
      </c>
      <c r="J318" s="51" t="s">
        <v>108</v>
      </c>
      <c r="K318" s="52" t="s">
        <v>134</v>
      </c>
      <c r="L318" s="140"/>
    </row>
    <row r="319" spans="1:12" ht="15" customHeight="1">
      <c r="A319" s="104" t="s">
        <v>622</v>
      </c>
      <c r="B319" s="280" t="s">
        <v>624</v>
      </c>
      <c r="C319" s="62" t="s">
        <v>30</v>
      </c>
      <c r="D319" s="18" t="s">
        <v>14</v>
      </c>
      <c r="E319" s="83">
        <v>43539</v>
      </c>
      <c r="F319" s="83">
        <v>43600</v>
      </c>
      <c r="G319" s="143">
        <v>136000</v>
      </c>
      <c r="H319" s="112">
        <f>G319/100*18</f>
        <v>24480</v>
      </c>
      <c r="I319" s="49" t="s">
        <v>100</v>
      </c>
      <c r="J319" s="49" t="s">
        <v>108</v>
      </c>
      <c r="K319" s="50" t="s">
        <v>96</v>
      </c>
      <c r="L319" s="138" t="s">
        <v>627</v>
      </c>
    </row>
    <row r="320" spans="1:12" ht="15" customHeight="1">
      <c r="A320" s="145"/>
      <c r="B320" s="89"/>
      <c r="C320" s="46" t="s">
        <v>30</v>
      </c>
      <c r="D320" s="18" t="s">
        <v>63</v>
      </c>
      <c r="E320" s="91"/>
      <c r="F320" s="91"/>
      <c r="G320" s="240"/>
      <c r="H320" s="157"/>
      <c r="I320" s="8" t="s">
        <v>122</v>
      </c>
      <c r="J320" s="8" t="s">
        <v>123</v>
      </c>
      <c r="K320" s="20" t="s">
        <v>96</v>
      </c>
      <c r="L320" s="139"/>
    </row>
    <row r="321" spans="1:12" ht="15" customHeight="1">
      <c r="A321" s="145"/>
      <c r="B321" s="89"/>
      <c r="C321" s="46" t="s">
        <v>26</v>
      </c>
      <c r="D321" s="18" t="s">
        <v>62</v>
      </c>
      <c r="E321" s="91"/>
      <c r="F321" s="91"/>
      <c r="G321" s="240"/>
      <c r="H321" s="157"/>
      <c r="I321" s="8" t="s">
        <v>100</v>
      </c>
      <c r="J321" s="8" t="s">
        <v>108</v>
      </c>
      <c r="K321" s="20" t="s">
        <v>96</v>
      </c>
      <c r="L321" s="139"/>
    </row>
    <row r="322" spans="1:12" ht="15" customHeight="1" thickBot="1">
      <c r="A322" s="105"/>
      <c r="B322" s="281"/>
      <c r="C322" s="63" t="s">
        <v>11</v>
      </c>
      <c r="D322" s="19" t="s">
        <v>625</v>
      </c>
      <c r="E322" s="84"/>
      <c r="F322" s="84"/>
      <c r="G322" s="144"/>
      <c r="H322" s="113"/>
      <c r="I322" s="51" t="s">
        <v>124</v>
      </c>
      <c r="J322" s="51" t="s">
        <v>108</v>
      </c>
      <c r="K322" s="52" t="s">
        <v>134</v>
      </c>
      <c r="L322" s="140"/>
    </row>
    <row r="323" spans="1:12" ht="15" customHeight="1">
      <c r="A323" s="79" t="s">
        <v>628</v>
      </c>
      <c r="B323" s="88" t="s">
        <v>629</v>
      </c>
      <c r="C323" s="4" t="s">
        <v>10</v>
      </c>
      <c r="D323" s="5" t="s">
        <v>49</v>
      </c>
      <c r="E323" s="83">
        <v>43544</v>
      </c>
      <c r="F323" s="83">
        <v>43609</v>
      </c>
      <c r="G323" s="93">
        <v>216000</v>
      </c>
      <c r="H323" s="85">
        <f>G323/100*18</f>
        <v>38880</v>
      </c>
      <c r="I323" s="14" t="s">
        <v>122</v>
      </c>
      <c r="J323" s="12" t="s">
        <v>123</v>
      </c>
      <c r="K323" s="12" t="s">
        <v>96</v>
      </c>
      <c r="L323" s="77" t="s">
        <v>633</v>
      </c>
    </row>
    <row r="324" spans="1:12" ht="15" customHeight="1">
      <c r="A324" s="87"/>
      <c r="B324" s="89"/>
      <c r="C324" s="6" t="s">
        <v>437</v>
      </c>
      <c r="D324" s="7" t="s">
        <v>50</v>
      </c>
      <c r="E324" s="91"/>
      <c r="F324" s="91"/>
      <c r="G324" s="94"/>
      <c r="H324" s="96"/>
      <c r="I324" s="8" t="s">
        <v>122</v>
      </c>
      <c r="J324" s="20" t="s">
        <v>123</v>
      </c>
      <c r="K324" s="20" t="s">
        <v>96</v>
      </c>
      <c r="L324" s="97"/>
    </row>
    <row r="325" spans="1:12" ht="15" customHeight="1">
      <c r="A325" s="87"/>
      <c r="B325" s="89"/>
      <c r="C325" s="6" t="s">
        <v>437</v>
      </c>
      <c r="D325" s="7" t="s">
        <v>53</v>
      </c>
      <c r="E325" s="91"/>
      <c r="F325" s="91"/>
      <c r="G325" s="94"/>
      <c r="H325" s="96"/>
      <c r="I325" s="8" t="s">
        <v>122</v>
      </c>
      <c r="J325" s="20" t="s">
        <v>123</v>
      </c>
      <c r="K325" s="20" t="s">
        <v>96</v>
      </c>
      <c r="L325" s="97"/>
    </row>
    <row r="326" spans="1:12" ht="15" customHeight="1">
      <c r="A326" s="87"/>
      <c r="B326" s="89"/>
      <c r="C326" s="6" t="s">
        <v>437</v>
      </c>
      <c r="D326" s="7" t="s">
        <v>52</v>
      </c>
      <c r="E326" s="91"/>
      <c r="F326" s="91"/>
      <c r="G326" s="94"/>
      <c r="H326" s="96"/>
      <c r="I326" s="8" t="s">
        <v>122</v>
      </c>
      <c r="J326" s="20" t="s">
        <v>632</v>
      </c>
      <c r="K326" s="20" t="s">
        <v>96</v>
      </c>
      <c r="L326" s="97"/>
    </row>
    <row r="327" spans="1:12" ht="15" customHeight="1">
      <c r="A327" s="87"/>
      <c r="B327" s="89"/>
      <c r="C327" s="6" t="s">
        <v>80</v>
      </c>
      <c r="D327" s="7" t="s">
        <v>630</v>
      </c>
      <c r="E327" s="91"/>
      <c r="F327" s="91"/>
      <c r="G327" s="94"/>
      <c r="H327" s="96"/>
      <c r="I327" s="8" t="s">
        <v>122</v>
      </c>
      <c r="J327" s="20" t="s">
        <v>632</v>
      </c>
      <c r="K327" s="20" t="s">
        <v>96</v>
      </c>
      <c r="L327" s="97"/>
    </row>
    <row r="328" spans="1:12" ht="15" customHeight="1">
      <c r="A328" s="87"/>
      <c r="B328" s="89"/>
      <c r="C328" s="6" t="s">
        <v>11</v>
      </c>
      <c r="D328" s="7" t="s">
        <v>54</v>
      </c>
      <c r="E328" s="91"/>
      <c r="F328" s="91"/>
      <c r="G328" s="94"/>
      <c r="H328" s="96"/>
      <c r="I328" s="8" t="s">
        <v>122</v>
      </c>
      <c r="J328" s="20" t="s">
        <v>123</v>
      </c>
      <c r="K328" s="20" t="s">
        <v>96</v>
      </c>
      <c r="L328" s="97"/>
    </row>
    <row r="329" spans="1:12" ht="15" customHeight="1" thickBot="1">
      <c r="A329" s="80"/>
      <c r="B329" s="89"/>
      <c r="C329" s="64" t="s">
        <v>11</v>
      </c>
      <c r="D329" s="7" t="s">
        <v>631</v>
      </c>
      <c r="E329" s="91"/>
      <c r="F329" s="149"/>
      <c r="G329" s="94"/>
      <c r="H329" s="96"/>
      <c r="I329" s="65" t="s">
        <v>122</v>
      </c>
      <c r="J329" s="72" t="s">
        <v>123</v>
      </c>
      <c r="K329" s="72" t="s">
        <v>96</v>
      </c>
      <c r="L329" s="97"/>
    </row>
    <row r="330" spans="1:12" ht="15" customHeight="1">
      <c r="B330" s="304" t="s">
        <v>634</v>
      </c>
      <c r="C330" s="318" t="s">
        <v>26</v>
      </c>
      <c r="D330" s="342" t="s">
        <v>635</v>
      </c>
      <c r="E330" s="358">
        <v>43553</v>
      </c>
      <c r="F330" s="358">
        <v>43830</v>
      </c>
      <c r="G330" s="404">
        <v>40000</v>
      </c>
      <c r="H330" s="404">
        <v>6000</v>
      </c>
      <c r="I330" s="100"/>
      <c r="J330" s="100"/>
      <c r="K330" s="100" t="s">
        <v>96</v>
      </c>
      <c r="L330" s="415" t="s">
        <v>636</v>
      </c>
    </row>
    <row r="331" spans="1:12" ht="15" customHeight="1" thickBot="1">
      <c r="B331" s="305"/>
      <c r="C331" s="303"/>
      <c r="D331" s="341"/>
      <c r="E331" s="359"/>
      <c r="F331" s="382"/>
      <c r="G331" s="405"/>
      <c r="H331" s="405"/>
      <c r="I331" s="101"/>
      <c r="J331" s="101"/>
      <c r="K331" s="101"/>
      <c r="L331" s="416"/>
    </row>
    <row r="332" spans="1:12" ht="15" customHeight="1">
      <c r="B332" s="293" t="s">
        <v>637</v>
      </c>
      <c r="C332" s="77" t="s">
        <v>8</v>
      </c>
      <c r="D332" s="98" t="s">
        <v>638</v>
      </c>
      <c r="E332" s="358">
        <v>43553</v>
      </c>
      <c r="F332" s="383">
        <v>43738</v>
      </c>
      <c r="G332" s="406">
        <v>27600</v>
      </c>
      <c r="H332" s="406">
        <f>G332*0.15</f>
        <v>4140</v>
      </c>
      <c r="I332" s="100"/>
      <c r="J332" s="100"/>
      <c r="K332" s="100" t="s">
        <v>96</v>
      </c>
      <c r="L332" s="417" t="s">
        <v>639</v>
      </c>
    </row>
    <row r="333" spans="1:12" ht="15" customHeight="1" thickBot="1">
      <c r="B333" s="294"/>
      <c r="C333" s="78"/>
      <c r="D333" s="99"/>
      <c r="E333" s="359"/>
      <c r="F333" s="384"/>
      <c r="G333" s="407"/>
      <c r="H333" s="407"/>
      <c r="I333" s="101"/>
      <c r="J333" s="101"/>
      <c r="K333" s="101"/>
      <c r="L333" s="418"/>
    </row>
    <row r="334" spans="1:12" ht="15" customHeight="1">
      <c r="B334" s="293" t="s">
        <v>640</v>
      </c>
      <c r="C334" s="77" t="s">
        <v>10</v>
      </c>
      <c r="D334" s="98" t="s">
        <v>641</v>
      </c>
      <c r="E334" s="358">
        <v>43553</v>
      </c>
      <c r="F334" s="383">
        <v>43676</v>
      </c>
      <c r="G334" s="406">
        <v>90000</v>
      </c>
      <c r="H334" s="406">
        <f>G334*0.15</f>
        <v>13500</v>
      </c>
      <c r="I334" s="100"/>
      <c r="J334" s="100"/>
      <c r="K334" s="100" t="s">
        <v>96</v>
      </c>
      <c r="L334" s="419" t="s">
        <v>642</v>
      </c>
    </row>
    <row r="335" spans="1:12" ht="15" customHeight="1" thickBot="1">
      <c r="B335" s="294"/>
      <c r="C335" s="78"/>
      <c r="D335" s="99"/>
      <c r="E335" s="359"/>
      <c r="F335" s="384"/>
      <c r="G335" s="407"/>
      <c r="H335" s="407"/>
      <c r="I335" s="101"/>
      <c r="J335" s="101"/>
      <c r="K335" s="101"/>
      <c r="L335" s="420"/>
    </row>
    <row r="336" spans="1:12" ht="15" customHeight="1">
      <c r="B336" s="293" t="s">
        <v>643</v>
      </c>
      <c r="C336" s="67" t="s">
        <v>10</v>
      </c>
      <c r="D336" s="69" t="s">
        <v>644</v>
      </c>
      <c r="E336" s="358">
        <v>43553</v>
      </c>
      <c r="F336" s="383">
        <v>43646</v>
      </c>
      <c r="G336" s="406">
        <v>180000</v>
      </c>
      <c r="H336" s="406">
        <f>G336*0.15</f>
        <v>27000</v>
      </c>
      <c r="I336" s="100"/>
      <c r="J336" s="100"/>
      <c r="K336" s="100" t="s">
        <v>96</v>
      </c>
      <c r="L336" s="419" t="s">
        <v>645</v>
      </c>
    </row>
    <row r="337" spans="2:12" ht="15" customHeight="1">
      <c r="B337" s="295"/>
      <c r="C337" s="65" t="s">
        <v>10</v>
      </c>
      <c r="D337" s="73" t="s">
        <v>280</v>
      </c>
      <c r="E337" s="360"/>
      <c r="F337" s="385"/>
      <c r="G337" s="408"/>
      <c r="H337" s="408"/>
      <c r="I337" s="159"/>
      <c r="J337" s="159"/>
      <c r="K337" s="159"/>
      <c r="L337" s="421"/>
    </row>
    <row r="338" spans="2:12" ht="15" customHeight="1" thickBot="1">
      <c r="B338" s="294"/>
      <c r="C338" s="68" t="s">
        <v>26</v>
      </c>
      <c r="D338" s="70" t="s">
        <v>20</v>
      </c>
      <c r="E338" s="359"/>
      <c r="F338" s="384"/>
      <c r="G338" s="407"/>
      <c r="H338" s="407"/>
      <c r="I338" s="101"/>
      <c r="J338" s="101"/>
      <c r="K338" s="101"/>
      <c r="L338" s="420"/>
    </row>
    <row r="339" spans="2:12" ht="15" customHeight="1">
      <c r="B339" s="306" t="s">
        <v>646</v>
      </c>
      <c r="C339" s="297" t="s">
        <v>10</v>
      </c>
      <c r="D339" s="328" t="s">
        <v>647</v>
      </c>
      <c r="E339" s="361">
        <v>43580</v>
      </c>
      <c r="F339" s="361">
        <v>43965</v>
      </c>
      <c r="G339" s="409">
        <v>120000</v>
      </c>
      <c r="H339" s="409">
        <f>G339*0.15</f>
        <v>18000</v>
      </c>
      <c r="I339" s="159"/>
      <c r="J339" s="159"/>
      <c r="K339" s="159"/>
      <c r="L339" s="422" t="s">
        <v>648</v>
      </c>
    </row>
    <row r="340" spans="2:12" ht="15" customHeight="1" thickBot="1">
      <c r="B340" s="307"/>
      <c r="C340" s="298"/>
      <c r="D340" s="329"/>
      <c r="E340" s="360"/>
      <c r="F340" s="386"/>
      <c r="G340" s="410"/>
      <c r="H340" s="410"/>
      <c r="I340" s="413"/>
      <c r="J340" s="413"/>
      <c r="K340" s="413"/>
      <c r="L340" s="423"/>
    </row>
    <row r="341" spans="2:12" ht="15" customHeight="1">
      <c r="B341" s="308" t="s">
        <v>649</v>
      </c>
      <c r="C341" s="298" t="s">
        <v>10</v>
      </c>
      <c r="D341" s="329" t="s">
        <v>280</v>
      </c>
      <c r="E341" s="360">
        <v>43570</v>
      </c>
      <c r="F341" s="387">
        <v>43738</v>
      </c>
      <c r="G341" s="410">
        <v>60000</v>
      </c>
      <c r="H341" s="410">
        <f t="shared" ref="H341" si="0">G341*0.15</f>
        <v>9000</v>
      </c>
      <c r="I341" s="414"/>
      <c r="J341" s="414"/>
      <c r="K341" s="100" t="s">
        <v>96</v>
      </c>
      <c r="L341" s="423" t="s">
        <v>650</v>
      </c>
    </row>
    <row r="342" spans="2:12" ht="15" customHeight="1" thickBot="1">
      <c r="B342" s="309"/>
      <c r="C342" s="301"/>
      <c r="D342" s="334"/>
      <c r="E342" s="360"/>
      <c r="F342" s="388"/>
      <c r="G342" s="410"/>
      <c r="H342" s="410"/>
      <c r="I342" s="413"/>
      <c r="J342" s="413"/>
      <c r="K342" s="101"/>
      <c r="L342" s="423"/>
    </row>
    <row r="343" spans="2:12" ht="15" customHeight="1">
      <c r="B343" s="310" t="s">
        <v>651</v>
      </c>
      <c r="C343" s="319" t="s">
        <v>10</v>
      </c>
      <c r="D343" s="343" t="s">
        <v>619</v>
      </c>
      <c r="E343" s="362">
        <v>43581</v>
      </c>
      <c r="F343" s="387">
        <v>43947</v>
      </c>
      <c r="G343" s="410">
        <v>288000</v>
      </c>
      <c r="H343" s="410">
        <f t="shared" ref="H343" si="1">G343*0.15</f>
        <v>43200</v>
      </c>
      <c r="I343" s="414"/>
      <c r="J343" s="414"/>
      <c r="K343" s="414" t="s">
        <v>716</v>
      </c>
      <c r="L343" s="424" t="s">
        <v>652</v>
      </c>
    </row>
    <row r="344" spans="2:12" ht="15" customHeight="1">
      <c r="B344" s="310"/>
      <c r="C344" s="320" t="s">
        <v>10</v>
      </c>
      <c r="D344" s="344" t="s">
        <v>653</v>
      </c>
      <c r="E344" s="362"/>
      <c r="F344" s="387"/>
      <c r="G344" s="410"/>
      <c r="H344" s="410"/>
      <c r="I344" s="159"/>
      <c r="J344" s="159"/>
      <c r="K344" s="159"/>
      <c r="L344" s="424"/>
    </row>
    <row r="345" spans="2:12" ht="15" customHeight="1">
      <c r="B345" s="310"/>
      <c r="C345" s="321" t="s">
        <v>8</v>
      </c>
      <c r="D345" s="321" t="s">
        <v>654</v>
      </c>
      <c r="E345" s="362"/>
      <c r="F345" s="387"/>
      <c r="G345" s="410"/>
      <c r="H345" s="410"/>
      <c r="I345" s="159"/>
      <c r="J345" s="159"/>
      <c r="K345" s="159"/>
      <c r="L345" s="424"/>
    </row>
    <row r="346" spans="2:12" ht="15" customHeight="1">
      <c r="B346" s="310"/>
      <c r="C346" s="321" t="s">
        <v>279</v>
      </c>
      <c r="D346" s="321" t="s">
        <v>655</v>
      </c>
      <c r="E346" s="362"/>
      <c r="F346" s="387"/>
      <c r="G346" s="410"/>
      <c r="H346" s="410"/>
      <c r="I346" s="159"/>
      <c r="J346" s="159"/>
      <c r="K346" s="159"/>
      <c r="L346" s="424"/>
    </row>
    <row r="347" spans="2:12" ht="15" customHeight="1" thickBot="1">
      <c r="B347" s="311"/>
      <c r="C347" s="322" t="s">
        <v>11</v>
      </c>
      <c r="D347" s="322" t="s">
        <v>656</v>
      </c>
      <c r="E347" s="362"/>
      <c r="F347" s="388"/>
      <c r="G347" s="410"/>
      <c r="H347" s="410"/>
      <c r="I347" s="413"/>
      <c r="J347" s="413"/>
      <c r="K347" s="413"/>
      <c r="L347" s="424"/>
    </row>
    <row r="348" spans="2:12" ht="15" customHeight="1">
      <c r="B348" s="312" t="s">
        <v>657</v>
      </c>
      <c r="C348" s="323" t="s">
        <v>30</v>
      </c>
      <c r="D348" s="323" t="s">
        <v>56</v>
      </c>
      <c r="E348" s="363">
        <v>43581</v>
      </c>
      <c r="F348" s="363">
        <v>43775</v>
      </c>
      <c r="G348" s="228">
        <v>42368</v>
      </c>
      <c r="H348" s="410">
        <f t="shared" ref="H348" si="2">G348*0.15</f>
        <v>6355.2</v>
      </c>
      <c r="I348" s="414"/>
      <c r="J348" s="414"/>
      <c r="K348" s="100" t="s">
        <v>96</v>
      </c>
      <c r="L348" s="425" t="s">
        <v>658</v>
      </c>
    </row>
    <row r="349" spans="2:12" ht="15" customHeight="1" thickBot="1">
      <c r="B349" s="313"/>
      <c r="C349" s="324" t="s">
        <v>30</v>
      </c>
      <c r="D349" s="345" t="s">
        <v>24</v>
      </c>
      <c r="E349" s="363"/>
      <c r="F349" s="363"/>
      <c r="G349" s="228"/>
      <c r="H349" s="410"/>
      <c r="I349" s="413"/>
      <c r="J349" s="413"/>
      <c r="K349" s="101"/>
      <c r="L349" s="425"/>
    </row>
    <row r="350" spans="2:12" ht="15" customHeight="1">
      <c r="B350" s="314" t="s">
        <v>659</v>
      </c>
      <c r="C350" s="325" t="s">
        <v>10</v>
      </c>
      <c r="D350" s="323" t="s">
        <v>39</v>
      </c>
      <c r="E350" s="364">
        <v>43600</v>
      </c>
      <c r="F350" s="389">
        <v>44317</v>
      </c>
      <c r="G350" s="228">
        <v>150000</v>
      </c>
      <c r="H350" s="228">
        <v>22500</v>
      </c>
      <c r="I350" s="414"/>
      <c r="J350" s="414"/>
      <c r="K350" s="100" t="s">
        <v>96</v>
      </c>
      <c r="L350" s="423" t="s">
        <v>660</v>
      </c>
    </row>
    <row r="351" spans="2:12" ht="15.75" thickBot="1">
      <c r="B351" s="314"/>
      <c r="C351" s="74" t="s">
        <v>8</v>
      </c>
      <c r="D351" s="335" t="s">
        <v>325</v>
      </c>
      <c r="E351" s="365"/>
      <c r="F351" s="390"/>
      <c r="G351" s="228"/>
      <c r="H351" s="228"/>
      <c r="I351" s="413"/>
      <c r="J351" s="413"/>
      <c r="K351" s="101"/>
      <c r="L351" s="423"/>
    </row>
    <row r="352" spans="2:12" ht="15" customHeight="1">
      <c r="B352" s="311" t="s">
        <v>661</v>
      </c>
      <c r="C352" s="325" t="s">
        <v>10</v>
      </c>
      <c r="D352" s="323" t="s">
        <v>70</v>
      </c>
      <c r="E352" s="366">
        <v>43605</v>
      </c>
      <c r="F352" s="391">
        <v>43666</v>
      </c>
      <c r="G352" s="410">
        <v>10000</v>
      </c>
      <c r="H352" s="228">
        <v>1500</v>
      </c>
      <c r="I352" s="414"/>
      <c r="J352" s="414"/>
      <c r="K352" s="414"/>
      <c r="L352" s="423" t="s">
        <v>662</v>
      </c>
    </row>
    <row r="353" spans="2:12" ht="15" customHeight="1" thickBot="1">
      <c r="B353" s="311"/>
      <c r="C353" s="326" t="s">
        <v>437</v>
      </c>
      <c r="D353" s="324" t="s">
        <v>663</v>
      </c>
      <c r="E353" s="367"/>
      <c r="F353" s="392"/>
      <c r="G353" s="410"/>
      <c r="H353" s="228"/>
      <c r="I353" s="413"/>
      <c r="J353" s="413"/>
      <c r="K353" s="413"/>
      <c r="L353" s="423"/>
    </row>
    <row r="354" spans="2:12" ht="15" customHeight="1">
      <c r="B354" s="311" t="s">
        <v>664</v>
      </c>
      <c r="C354" s="297" t="s">
        <v>10</v>
      </c>
      <c r="D354" s="337" t="s">
        <v>641</v>
      </c>
      <c r="E354" s="367">
        <v>43610</v>
      </c>
      <c r="F354" s="369">
        <v>43975</v>
      </c>
      <c r="G354" s="410">
        <v>56460</v>
      </c>
      <c r="H354" s="410">
        <f>G354/100*15</f>
        <v>8469</v>
      </c>
      <c r="I354" s="414"/>
      <c r="J354" s="414"/>
      <c r="K354" s="100" t="s">
        <v>96</v>
      </c>
      <c r="L354" s="423" t="s">
        <v>665</v>
      </c>
    </row>
    <row r="355" spans="2:12" ht="15" customHeight="1" thickBot="1">
      <c r="B355" s="311"/>
      <c r="C355" s="301"/>
      <c r="D355" s="336"/>
      <c r="E355" s="367"/>
      <c r="F355" s="369"/>
      <c r="G355" s="410"/>
      <c r="H355" s="410"/>
      <c r="I355" s="413"/>
      <c r="J355" s="413"/>
      <c r="K355" s="101"/>
      <c r="L355" s="423"/>
    </row>
    <row r="356" spans="2:12" ht="15" customHeight="1">
      <c r="B356" s="295" t="s">
        <v>666</v>
      </c>
      <c r="C356" s="327" t="s">
        <v>10</v>
      </c>
      <c r="D356" s="346" t="s">
        <v>75</v>
      </c>
      <c r="E356" s="368">
        <v>43610</v>
      </c>
      <c r="F356" s="368">
        <v>43702</v>
      </c>
      <c r="G356" s="228">
        <v>30000</v>
      </c>
      <c r="H356" s="228">
        <v>4500</v>
      </c>
      <c r="I356" s="414"/>
      <c r="J356" s="414"/>
      <c r="K356" s="414" t="s">
        <v>96</v>
      </c>
      <c r="L356" s="423" t="s">
        <v>667</v>
      </c>
    </row>
    <row r="357" spans="2:12" ht="15" customHeight="1">
      <c r="B357" s="295"/>
      <c r="C357" s="65" t="s">
        <v>8</v>
      </c>
      <c r="D357" s="73" t="s">
        <v>668</v>
      </c>
      <c r="E357" s="368"/>
      <c r="F357" s="368"/>
      <c r="G357" s="228"/>
      <c r="H357" s="228"/>
      <c r="I357" s="159"/>
      <c r="J357" s="159"/>
      <c r="K357" s="159"/>
      <c r="L357" s="423"/>
    </row>
    <row r="358" spans="2:12" ht="15" customHeight="1">
      <c r="B358" s="295"/>
      <c r="C358" s="65" t="s">
        <v>8</v>
      </c>
      <c r="D358" s="73" t="s">
        <v>669</v>
      </c>
      <c r="E358" s="368"/>
      <c r="F358" s="368"/>
      <c r="G358" s="228"/>
      <c r="H358" s="228"/>
      <c r="I358" s="159"/>
      <c r="J358" s="159"/>
      <c r="K358" s="159"/>
      <c r="L358" s="423"/>
    </row>
    <row r="359" spans="2:12" ht="15" customHeight="1">
      <c r="B359" s="295"/>
      <c r="C359" s="65" t="s">
        <v>8</v>
      </c>
      <c r="D359" s="73" t="s">
        <v>37</v>
      </c>
      <c r="E359" s="368"/>
      <c r="F359" s="368"/>
      <c r="G359" s="228"/>
      <c r="H359" s="228"/>
      <c r="I359" s="159"/>
      <c r="J359" s="159"/>
      <c r="K359" s="159"/>
      <c r="L359" s="423"/>
    </row>
    <row r="360" spans="2:12" ht="15" customHeight="1" thickBot="1">
      <c r="B360" s="295"/>
      <c r="C360" s="65" t="s">
        <v>437</v>
      </c>
      <c r="D360" s="73" t="s">
        <v>670</v>
      </c>
      <c r="E360" s="368"/>
      <c r="F360" s="368"/>
      <c r="G360" s="228"/>
      <c r="H360" s="228"/>
      <c r="I360" s="413"/>
      <c r="J360" s="413"/>
      <c r="K360" s="413"/>
      <c r="L360" s="423"/>
    </row>
    <row r="361" spans="2:12" ht="15" customHeight="1">
      <c r="B361" s="295" t="s">
        <v>671</v>
      </c>
      <c r="C361" s="299" t="s">
        <v>8</v>
      </c>
      <c r="D361" s="347" t="s">
        <v>672</v>
      </c>
      <c r="E361" s="368">
        <v>43615</v>
      </c>
      <c r="F361" s="368">
        <v>43707</v>
      </c>
      <c r="G361" s="228">
        <v>50000</v>
      </c>
      <c r="H361" s="228">
        <v>7500</v>
      </c>
      <c r="I361" s="414"/>
      <c r="J361" s="414"/>
      <c r="K361" s="100" t="s">
        <v>96</v>
      </c>
      <c r="L361" s="423" t="s">
        <v>673</v>
      </c>
    </row>
    <row r="362" spans="2:12" ht="15" customHeight="1" thickBot="1">
      <c r="B362" s="295"/>
      <c r="C362" s="300"/>
      <c r="D362" s="348"/>
      <c r="E362" s="368"/>
      <c r="F362" s="368"/>
      <c r="G362" s="228"/>
      <c r="H362" s="228"/>
      <c r="I362" s="413"/>
      <c r="J362" s="413"/>
      <c r="K362" s="101"/>
      <c r="L362" s="423"/>
    </row>
    <row r="363" spans="2:12" ht="15" customHeight="1">
      <c r="B363" s="311" t="s">
        <v>674</v>
      </c>
      <c r="C363" s="328" t="s">
        <v>8</v>
      </c>
      <c r="D363" s="328" t="s">
        <v>34</v>
      </c>
      <c r="E363" s="369">
        <v>43616</v>
      </c>
      <c r="F363" s="369">
        <v>43707</v>
      </c>
      <c r="G363" s="410">
        <v>30000</v>
      </c>
      <c r="H363" s="228">
        <v>3000</v>
      </c>
      <c r="I363" s="414"/>
      <c r="J363" s="414"/>
      <c r="K363" s="100" t="s">
        <v>96</v>
      </c>
      <c r="L363" s="423" t="s">
        <v>675</v>
      </c>
    </row>
    <row r="364" spans="2:12" ht="15" customHeight="1" thickBot="1">
      <c r="B364" s="311"/>
      <c r="C364" s="329"/>
      <c r="D364" s="329"/>
      <c r="E364" s="369"/>
      <c r="F364" s="392"/>
      <c r="G364" s="410"/>
      <c r="H364" s="228"/>
      <c r="I364" s="413"/>
      <c r="J364" s="413"/>
      <c r="K364" s="101"/>
      <c r="L364" s="423"/>
    </row>
    <row r="365" spans="2:12" ht="15" customHeight="1">
      <c r="B365" s="311" t="s">
        <v>676</v>
      </c>
      <c r="C365" s="328" t="s">
        <v>8</v>
      </c>
      <c r="D365" s="328" t="s">
        <v>34</v>
      </c>
      <c r="E365" s="369">
        <v>43616</v>
      </c>
      <c r="F365" s="369">
        <v>43707</v>
      </c>
      <c r="G365" s="410">
        <v>30000</v>
      </c>
      <c r="H365" s="228">
        <v>3000</v>
      </c>
      <c r="I365" s="414"/>
      <c r="J365" s="414"/>
      <c r="K365" s="100" t="s">
        <v>96</v>
      </c>
      <c r="L365" s="423" t="s">
        <v>677</v>
      </c>
    </row>
    <row r="366" spans="2:12" ht="15" customHeight="1" thickBot="1">
      <c r="B366" s="311"/>
      <c r="C366" s="329"/>
      <c r="D366" s="329"/>
      <c r="E366" s="369"/>
      <c r="F366" s="392"/>
      <c r="G366" s="410"/>
      <c r="H366" s="228"/>
      <c r="I366" s="413"/>
      <c r="J366" s="413"/>
      <c r="K366" s="101"/>
      <c r="L366" s="423"/>
    </row>
    <row r="367" spans="2:12" ht="15" customHeight="1">
      <c r="B367" s="314" t="s">
        <v>678</v>
      </c>
      <c r="C367" s="330" t="s">
        <v>10</v>
      </c>
      <c r="D367" s="349" t="s">
        <v>67</v>
      </c>
      <c r="E367" s="370">
        <v>43622</v>
      </c>
      <c r="F367" s="368">
        <v>43775</v>
      </c>
      <c r="G367" s="228">
        <v>15000</v>
      </c>
      <c r="H367" s="228">
        <v>2250</v>
      </c>
      <c r="I367" s="414"/>
      <c r="J367" s="414"/>
      <c r="K367" s="100" t="s">
        <v>96</v>
      </c>
      <c r="L367" s="423" t="s">
        <v>679</v>
      </c>
    </row>
    <row r="368" spans="2:12" ht="15" customHeight="1" thickBot="1">
      <c r="B368" s="314"/>
      <c r="C368" s="331"/>
      <c r="D368" s="350"/>
      <c r="E368" s="370"/>
      <c r="F368" s="368"/>
      <c r="G368" s="228"/>
      <c r="H368" s="228"/>
      <c r="I368" s="413"/>
      <c r="J368" s="413"/>
      <c r="K368" s="101"/>
      <c r="L368" s="423"/>
    </row>
    <row r="369" spans="2:12" ht="15" customHeight="1">
      <c r="B369" s="311" t="s">
        <v>680</v>
      </c>
      <c r="C369" s="325" t="s">
        <v>10</v>
      </c>
      <c r="D369" s="351" t="s">
        <v>641</v>
      </c>
      <c r="E369" s="367">
        <v>43640</v>
      </c>
      <c r="F369" s="369">
        <v>43706</v>
      </c>
      <c r="G369" s="410">
        <v>84000</v>
      </c>
      <c r="H369" s="228">
        <f>G369*0.15</f>
        <v>12600</v>
      </c>
      <c r="I369" s="414"/>
      <c r="J369" s="414"/>
      <c r="K369" s="100" t="s">
        <v>96</v>
      </c>
      <c r="L369" s="423" t="s">
        <v>681</v>
      </c>
    </row>
    <row r="370" spans="2:12" ht="15" customHeight="1" thickBot="1">
      <c r="B370" s="311"/>
      <c r="C370" s="326" t="s">
        <v>8</v>
      </c>
      <c r="D370" s="352" t="s">
        <v>682</v>
      </c>
      <c r="E370" s="367"/>
      <c r="F370" s="392"/>
      <c r="G370" s="410"/>
      <c r="H370" s="228"/>
      <c r="I370" s="413"/>
      <c r="J370" s="413"/>
      <c r="K370" s="101"/>
      <c r="L370" s="423"/>
    </row>
    <row r="371" spans="2:12" ht="15" customHeight="1">
      <c r="B371" s="311" t="s">
        <v>683</v>
      </c>
      <c r="C371" s="301" t="s">
        <v>10</v>
      </c>
      <c r="D371" s="329" t="s">
        <v>684</v>
      </c>
      <c r="E371" s="360">
        <v>43654</v>
      </c>
      <c r="F371" s="393">
        <v>44019</v>
      </c>
      <c r="G371" s="411">
        <v>128800</v>
      </c>
      <c r="H371" s="408">
        <f>G371*0.15</f>
        <v>19320</v>
      </c>
      <c r="I371" s="414"/>
      <c r="J371" s="414"/>
      <c r="K371" s="100" t="s">
        <v>96</v>
      </c>
      <c r="L371" s="292" t="s">
        <v>685</v>
      </c>
    </row>
    <row r="372" spans="2:12" ht="15" customHeight="1" thickBot="1">
      <c r="B372" s="311"/>
      <c r="C372" s="302"/>
      <c r="D372" s="334"/>
      <c r="E372" s="360"/>
      <c r="F372" s="394"/>
      <c r="G372" s="411"/>
      <c r="H372" s="408"/>
      <c r="I372" s="413"/>
      <c r="J372" s="413"/>
      <c r="K372" s="101"/>
      <c r="L372" s="292"/>
    </row>
    <row r="373" spans="2:12" ht="15" customHeight="1">
      <c r="B373" s="311" t="s">
        <v>686</v>
      </c>
      <c r="C373" s="325" t="s">
        <v>8</v>
      </c>
      <c r="D373" s="323" t="s">
        <v>23</v>
      </c>
      <c r="E373" s="362">
        <v>43663</v>
      </c>
      <c r="F373" s="387">
        <v>44286</v>
      </c>
      <c r="G373" s="410">
        <v>222500</v>
      </c>
      <c r="H373" s="408">
        <f t="shared" ref="H373" si="3">G373*0.15</f>
        <v>33375</v>
      </c>
      <c r="I373" s="414"/>
      <c r="J373" s="414"/>
      <c r="K373" s="100" t="s">
        <v>96</v>
      </c>
      <c r="L373" s="292" t="s">
        <v>687</v>
      </c>
    </row>
    <row r="374" spans="2:12" ht="15" customHeight="1" thickBot="1">
      <c r="B374" s="311"/>
      <c r="C374" s="326" t="s">
        <v>437</v>
      </c>
      <c r="D374" s="324" t="s">
        <v>24</v>
      </c>
      <c r="E374" s="362"/>
      <c r="F374" s="388"/>
      <c r="G374" s="410"/>
      <c r="H374" s="408"/>
      <c r="I374" s="413"/>
      <c r="J374" s="413"/>
      <c r="K374" s="101"/>
      <c r="L374" s="292"/>
    </row>
    <row r="375" spans="2:12" ht="15" customHeight="1">
      <c r="B375" s="311" t="s">
        <v>66</v>
      </c>
      <c r="C375" s="325" t="s">
        <v>10</v>
      </c>
      <c r="D375" s="323" t="s">
        <v>644</v>
      </c>
      <c r="E375" s="371">
        <v>43661</v>
      </c>
      <c r="F375" s="369">
        <v>43723</v>
      </c>
      <c r="G375" s="410">
        <v>16500</v>
      </c>
      <c r="H375" s="408">
        <f t="shared" ref="H375" si="4">G375*0.15</f>
        <v>2475</v>
      </c>
      <c r="I375" s="414"/>
      <c r="J375" s="414"/>
      <c r="K375" s="100" t="s">
        <v>96</v>
      </c>
      <c r="L375" s="292" t="s">
        <v>688</v>
      </c>
    </row>
    <row r="376" spans="2:12" ht="15" customHeight="1" thickBot="1">
      <c r="B376" s="311"/>
      <c r="C376" s="326" t="s">
        <v>8</v>
      </c>
      <c r="D376" s="324" t="s">
        <v>689</v>
      </c>
      <c r="E376" s="366"/>
      <c r="F376" s="369"/>
      <c r="G376" s="410"/>
      <c r="H376" s="408"/>
      <c r="I376" s="413"/>
      <c r="J376" s="413"/>
      <c r="K376" s="101"/>
      <c r="L376" s="292"/>
    </row>
    <row r="377" spans="2:12" ht="15" customHeight="1">
      <c r="B377" s="315" t="s">
        <v>629</v>
      </c>
      <c r="C377" s="332" t="s">
        <v>10</v>
      </c>
      <c r="D377" s="353" t="s">
        <v>49</v>
      </c>
      <c r="E377" s="371">
        <v>43678</v>
      </c>
      <c r="F377" s="395">
        <v>43830</v>
      </c>
      <c r="G377" s="410">
        <v>350000</v>
      </c>
      <c r="H377" s="408">
        <f t="shared" ref="H377" si="5">G377*0.15</f>
        <v>52500</v>
      </c>
      <c r="I377" s="414"/>
      <c r="J377" s="414"/>
      <c r="K377" s="414" t="s">
        <v>96</v>
      </c>
      <c r="L377" s="292" t="s">
        <v>690</v>
      </c>
    </row>
    <row r="378" spans="2:12" ht="15" customHeight="1">
      <c r="B378" s="316"/>
      <c r="C378" s="66" t="s">
        <v>437</v>
      </c>
      <c r="D378" s="71" t="s">
        <v>50</v>
      </c>
      <c r="E378" s="372"/>
      <c r="F378" s="396"/>
      <c r="G378" s="410"/>
      <c r="H378" s="408"/>
      <c r="I378" s="159"/>
      <c r="J378" s="159"/>
      <c r="K378" s="159"/>
      <c r="L378" s="292"/>
    </row>
    <row r="379" spans="2:12" ht="15" customHeight="1">
      <c r="B379" s="316"/>
      <c r="C379" s="66" t="s">
        <v>437</v>
      </c>
      <c r="D379" s="71" t="s">
        <v>53</v>
      </c>
      <c r="E379" s="372"/>
      <c r="F379" s="396"/>
      <c r="G379" s="410"/>
      <c r="H379" s="408"/>
      <c r="I379" s="159"/>
      <c r="J379" s="159"/>
      <c r="K379" s="159"/>
      <c r="L379" s="292"/>
    </row>
    <row r="380" spans="2:12" ht="15" customHeight="1">
      <c r="B380" s="316"/>
      <c r="C380" s="66" t="s">
        <v>437</v>
      </c>
      <c r="D380" s="71" t="s">
        <v>52</v>
      </c>
      <c r="E380" s="372"/>
      <c r="F380" s="396"/>
      <c r="G380" s="410"/>
      <c r="H380" s="408"/>
      <c r="I380" s="159"/>
      <c r="J380" s="159"/>
      <c r="K380" s="159"/>
      <c r="L380" s="292"/>
    </row>
    <row r="381" spans="2:12" ht="15" customHeight="1">
      <c r="B381" s="316"/>
      <c r="C381" s="73" t="s">
        <v>437</v>
      </c>
      <c r="D381" s="71" t="s">
        <v>63</v>
      </c>
      <c r="E381" s="372"/>
      <c r="F381" s="396"/>
      <c r="G381" s="410"/>
      <c r="H381" s="408"/>
      <c r="I381" s="159"/>
      <c r="J381" s="159"/>
      <c r="K381" s="159"/>
      <c r="L381" s="292"/>
    </row>
    <row r="382" spans="2:12" ht="15" customHeight="1">
      <c r="B382" s="316"/>
      <c r="C382" s="66" t="s">
        <v>80</v>
      </c>
      <c r="D382" s="71" t="s">
        <v>630</v>
      </c>
      <c r="E382" s="372"/>
      <c r="F382" s="396"/>
      <c r="G382" s="410"/>
      <c r="H382" s="408"/>
      <c r="I382" s="159"/>
      <c r="J382" s="159"/>
      <c r="K382" s="159"/>
      <c r="L382" s="292"/>
    </row>
    <row r="383" spans="2:12" ht="15" customHeight="1">
      <c r="B383" s="316"/>
      <c r="C383" s="66" t="s">
        <v>11</v>
      </c>
      <c r="D383" s="71" t="s">
        <v>54</v>
      </c>
      <c r="E383" s="372"/>
      <c r="F383" s="396"/>
      <c r="G383" s="410"/>
      <c r="H383" s="408"/>
      <c r="I383" s="159"/>
      <c r="J383" s="159"/>
      <c r="K383" s="159"/>
      <c r="L383" s="292"/>
    </row>
    <row r="384" spans="2:12" ht="15" customHeight="1">
      <c r="B384" s="316"/>
      <c r="C384" s="66" t="s">
        <v>11</v>
      </c>
      <c r="D384" s="71" t="s">
        <v>631</v>
      </c>
      <c r="E384" s="372"/>
      <c r="F384" s="396"/>
      <c r="G384" s="410"/>
      <c r="H384" s="408"/>
      <c r="I384" s="159"/>
      <c r="J384" s="159"/>
      <c r="K384" s="159"/>
      <c r="L384" s="292"/>
    </row>
    <row r="385" spans="2:12" ht="15" customHeight="1">
      <c r="B385" s="316"/>
      <c r="C385" s="73" t="s">
        <v>11</v>
      </c>
      <c r="D385" s="71" t="s">
        <v>691</v>
      </c>
      <c r="E385" s="372"/>
      <c r="F385" s="396"/>
      <c r="G385" s="410"/>
      <c r="H385" s="408"/>
      <c r="I385" s="159"/>
      <c r="J385" s="159"/>
      <c r="K385" s="159"/>
      <c r="L385" s="292"/>
    </row>
    <row r="386" spans="2:12" ht="15" customHeight="1" thickBot="1">
      <c r="B386" s="316"/>
      <c r="C386" s="333" t="s">
        <v>11</v>
      </c>
      <c r="D386" s="354" t="s">
        <v>692</v>
      </c>
      <c r="E386" s="372"/>
      <c r="F386" s="396"/>
      <c r="G386" s="410"/>
      <c r="H386" s="408"/>
      <c r="I386" s="413"/>
      <c r="J386" s="413"/>
      <c r="K386" s="413"/>
      <c r="L386" s="292"/>
    </row>
    <row r="387" spans="2:12" ht="15" customHeight="1">
      <c r="B387" s="311" t="s">
        <v>520</v>
      </c>
      <c r="C387" s="334" t="s">
        <v>8</v>
      </c>
      <c r="D387" s="301" t="s">
        <v>521</v>
      </c>
      <c r="E387" s="368">
        <v>43678</v>
      </c>
      <c r="F387" s="369">
        <v>43738</v>
      </c>
      <c r="G387" s="410">
        <v>8550</v>
      </c>
      <c r="H387" s="228">
        <f>G387*0.15</f>
        <v>1282.5</v>
      </c>
      <c r="I387" s="414"/>
      <c r="J387" s="414"/>
      <c r="K387" s="100" t="s">
        <v>96</v>
      </c>
      <c r="L387" s="426" t="s">
        <v>693</v>
      </c>
    </row>
    <row r="388" spans="2:12" ht="36" customHeight="1" thickBot="1">
      <c r="B388" s="311"/>
      <c r="C388" s="328"/>
      <c r="D388" s="297"/>
      <c r="E388" s="368"/>
      <c r="F388" s="392"/>
      <c r="G388" s="410"/>
      <c r="H388" s="228"/>
      <c r="I388" s="413"/>
      <c r="J388" s="413"/>
      <c r="K388" s="101"/>
      <c r="L388" s="426"/>
    </row>
    <row r="389" spans="2:12" ht="15" customHeight="1">
      <c r="B389" s="315" t="s">
        <v>694</v>
      </c>
      <c r="C389" s="323" t="s">
        <v>10</v>
      </c>
      <c r="D389" s="355" t="s">
        <v>540</v>
      </c>
      <c r="E389" s="373">
        <v>43692</v>
      </c>
      <c r="F389" s="395">
        <v>44058</v>
      </c>
      <c r="G389" s="410">
        <v>597000</v>
      </c>
      <c r="H389" s="228">
        <f>G389*0.12</f>
        <v>71640</v>
      </c>
      <c r="I389" s="414"/>
      <c r="J389" s="414"/>
      <c r="K389" s="100" t="s">
        <v>96</v>
      </c>
      <c r="L389" s="426" t="s">
        <v>695</v>
      </c>
    </row>
    <row r="390" spans="2:12" ht="58.5" customHeight="1" thickBot="1">
      <c r="B390" s="316"/>
      <c r="C390" s="335" t="s">
        <v>10</v>
      </c>
      <c r="D390" s="356" t="s">
        <v>18</v>
      </c>
      <c r="E390" s="374"/>
      <c r="F390" s="397"/>
      <c r="G390" s="410"/>
      <c r="H390" s="228"/>
      <c r="I390" s="413"/>
      <c r="J390" s="413"/>
      <c r="K390" s="101"/>
      <c r="L390" s="426"/>
    </row>
    <row r="391" spans="2:12" ht="15" customHeight="1">
      <c r="B391" s="315" t="s">
        <v>696</v>
      </c>
      <c r="C391" s="336" t="s">
        <v>30</v>
      </c>
      <c r="D391" s="301" t="s">
        <v>176</v>
      </c>
      <c r="E391" s="373">
        <v>43692</v>
      </c>
      <c r="F391" s="395">
        <v>43830</v>
      </c>
      <c r="G391" s="410">
        <v>24000</v>
      </c>
      <c r="H391" s="228">
        <f>G391*0.15</f>
        <v>3600</v>
      </c>
      <c r="I391" s="414"/>
      <c r="J391" s="414"/>
      <c r="K391" s="100" t="s">
        <v>96</v>
      </c>
      <c r="L391" s="426" t="s">
        <v>697</v>
      </c>
    </row>
    <row r="392" spans="2:12" ht="39" customHeight="1" thickBot="1">
      <c r="B392" s="310"/>
      <c r="C392" s="337"/>
      <c r="D392" s="297"/>
      <c r="E392" s="375"/>
      <c r="F392" s="398"/>
      <c r="G392" s="410"/>
      <c r="H392" s="228"/>
      <c r="I392" s="413"/>
      <c r="J392" s="413"/>
      <c r="K392" s="101"/>
      <c r="L392" s="426"/>
    </row>
    <row r="393" spans="2:12" ht="15" customHeight="1">
      <c r="B393" s="315" t="s">
        <v>698</v>
      </c>
      <c r="C393" s="336" t="s">
        <v>437</v>
      </c>
      <c r="D393" s="301" t="s">
        <v>53</v>
      </c>
      <c r="E393" s="374">
        <v>43692</v>
      </c>
      <c r="F393" s="395">
        <v>43799</v>
      </c>
      <c r="G393" s="410">
        <v>36000</v>
      </c>
      <c r="H393" s="228">
        <v>5400</v>
      </c>
      <c r="I393" s="414"/>
      <c r="J393" s="414"/>
      <c r="K393" s="100" t="s">
        <v>96</v>
      </c>
      <c r="L393" s="427" t="s">
        <v>699</v>
      </c>
    </row>
    <row r="394" spans="2:12" ht="41.25" customHeight="1" thickBot="1">
      <c r="B394" s="310"/>
      <c r="C394" s="337"/>
      <c r="D394" s="297"/>
      <c r="E394" s="375"/>
      <c r="F394" s="398"/>
      <c r="G394" s="410"/>
      <c r="H394" s="228"/>
      <c r="I394" s="413"/>
      <c r="J394" s="413"/>
      <c r="K394" s="101"/>
      <c r="L394" s="427"/>
    </row>
    <row r="395" spans="2:12" ht="15" customHeight="1">
      <c r="B395" s="312" t="s">
        <v>700</v>
      </c>
      <c r="C395" s="327" t="s">
        <v>10</v>
      </c>
      <c r="D395" s="353" t="s">
        <v>445</v>
      </c>
      <c r="E395" s="376">
        <v>43692</v>
      </c>
      <c r="F395" s="373">
        <v>43784</v>
      </c>
      <c r="G395" s="228">
        <v>90000</v>
      </c>
      <c r="H395" s="228">
        <f>G395*0.15</f>
        <v>13500</v>
      </c>
      <c r="I395" s="414"/>
      <c r="J395" s="414"/>
      <c r="K395" s="414" t="s">
        <v>96</v>
      </c>
      <c r="L395" s="428" t="s">
        <v>701</v>
      </c>
    </row>
    <row r="396" spans="2:12" ht="15" customHeight="1">
      <c r="B396" s="317"/>
      <c r="C396" s="65" t="s">
        <v>10</v>
      </c>
      <c r="D396" s="71" t="s">
        <v>702</v>
      </c>
      <c r="E396" s="377"/>
      <c r="F396" s="399"/>
      <c r="G396" s="228"/>
      <c r="H396" s="228"/>
      <c r="I396" s="159"/>
      <c r="J396" s="159"/>
      <c r="K396" s="159"/>
      <c r="L396" s="428"/>
    </row>
    <row r="397" spans="2:12" ht="15" customHeight="1">
      <c r="B397" s="317"/>
      <c r="C397" s="65" t="s">
        <v>10</v>
      </c>
      <c r="D397" s="71" t="s">
        <v>703</v>
      </c>
      <c r="E397" s="377"/>
      <c r="F397" s="399"/>
      <c r="G397" s="228"/>
      <c r="H397" s="228"/>
      <c r="I397" s="159"/>
      <c r="J397" s="159"/>
      <c r="K397" s="159"/>
      <c r="L397" s="428"/>
    </row>
    <row r="398" spans="2:12" ht="38.25" customHeight="1" thickBot="1">
      <c r="B398" s="313"/>
      <c r="C398" s="338" t="s">
        <v>30</v>
      </c>
      <c r="D398" s="354" t="s">
        <v>704</v>
      </c>
      <c r="E398" s="378"/>
      <c r="F398" s="400"/>
      <c r="G398" s="228"/>
      <c r="H398" s="228"/>
      <c r="I398" s="413"/>
      <c r="J398" s="413"/>
      <c r="K398" s="413"/>
      <c r="L398" s="428"/>
    </row>
    <row r="399" spans="2:12" ht="15" customHeight="1">
      <c r="B399" s="311" t="s">
        <v>705</v>
      </c>
      <c r="C399" s="328" t="s">
        <v>8</v>
      </c>
      <c r="D399" s="328" t="s">
        <v>34</v>
      </c>
      <c r="E399" s="369">
        <v>43709</v>
      </c>
      <c r="F399" s="369">
        <v>43980</v>
      </c>
      <c r="G399" s="410">
        <v>41400</v>
      </c>
      <c r="H399" s="228">
        <f>G399*0.15</f>
        <v>6210</v>
      </c>
      <c r="I399" s="414"/>
      <c r="J399" s="414"/>
      <c r="K399" s="100" t="s">
        <v>96</v>
      </c>
      <c r="L399" s="423" t="s">
        <v>706</v>
      </c>
    </row>
    <row r="400" spans="2:12" ht="15" customHeight="1" thickBot="1">
      <c r="B400" s="311"/>
      <c r="C400" s="329"/>
      <c r="D400" s="329"/>
      <c r="E400" s="369"/>
      <c r="F400" s="392"/>
      <c r="G400" s="410"/>
      <c r="H400" s="228"/>
      <c r="I400" s="413"/>
      <c r="J400" s="413"/>
      <c r="K400" s="101"/>
      <c r="L400" s="423"/>
    </row>
    <row r="401" spans="2:12" ht="15" customHeight="1">
      <c r="B401" s="311" t="s">
        <v>436</v>
      </c>
      <c r="C401" s="298" t="s">
        <v>8</v>
      </c>
      <c r="D401" s="329" t="s">
        <v>58</v>
      </c>
      <c r="E401" s="379">
        <v>43723</v>
      </c>
      <c r="F401" s="401">
        <v>43830</v>
      </c>
      <c r="G401" s="411">
        <v>18280</v>
      </c>
      <c r="H401" s="408">
        <f>G401*0.15</f>
        <v>2742</v>
      </c>
      <c r="I401" s="414"/>
      <c r="J401" s="414"/>
      <c r="K401" s="100" t="s">
        <v>96</v>
      </c>
      <c r="L401" s="292" t="s">
        <v>707</v>
      </c>
    </row>
    <row r="402" spans="2:12" ht="15" customHeight="1" thickBot="1">
      <c r="B402" s="311"/>
      <c r="C402" s="301"/>
      <c r="D402" s="334"/>
      <c r="E402" s="379"/>
      <c r="F402" s="402"/>
      <c r="G402" s="411"/>
      <c r="H402" s="408"/>
      <c r="I402" s="413"/>
      <c r="J402" s="413"/>
      <c r="K402" s="101"/>
      <c r="L402" s="292"/>
    </row>
    <row r="403" spans="2:12" ht="15" customHeight="1">
      <c r="B403" s="311" t="s">
        <v>190</v>
      </c>
      <c r="C403" s="339" t="s">
        <v>437</v>
      </c>
      <c r="D403" s="336" t="s">
        <v>45</v>
      </c>
      <c r="E403" s="379">
        <v>43723</v>
      </c>
      <c r="F403" s="401">
        <v>43905</v>
      </c>
      <c r="G403" s="411">
        <v>33000</v>
      </c>
      <c r="H403" s="411">
        <f>G403*0.15</f>
        <v>4950</v>
      </c>
      <c r="I403" s="414"/>
      <c r="J403" s="414"/>
      <c r="K403" s="100" t="s">
        <v>96</v>
      </c>
      <c r="L403" s="292" t="s">
        <v>708</v>
      </c>
    </row>
    <row r="404" spans="2:12" ht="15" customHeight="1" thickBot="1">
      <c r="B404" s="311"/>
      <c r="C404" s="340"/>
      <c r="D404" s="337"/>
      <c r="E404" s="379"/>
      <c r="F404" s="401"/>
      <c r="G404" s="411"/>
      <c r="H404" s="411"/>
      <c r="I404" s="413"/>
      <c r="J404" s="413"/>
      <c r="K404" s="101"/>
      <c r="L404" s="292"/>
    </row>
    <row r="405" spans="2:12" ht="15" customHeight="1">
      <c r="B405" s="295" t="s">
        <v>709</v>
      </c>
      <c r="C405" s="327" t="s">
        <v>437</v>
      </c>
      <c r="D405" s="346" t="s">
        <v>63</v>
      </c>
      <c r="E405" s="379">
        <v>43723</v>
      </c>
      <c r="F405" s="380">
        <v>43784</v>
      </c>
      <c r="G405" s="408">
        <v>33350</v>
      </c>
      <c r="H405" s="408">
        <f>G405*0.15</f>
        <v>5002.5</v>
      </c>
      <c r="I405" s="414"/>
      <c r="J405" s="414"/>
      <c r="K405" s="100" t="s">
        <v>96</v>
      </c>
      <c r="L405" s="426" t="s">
        <v>710</v>
      </c>
    </row>
    <row r="406" spans="2:12" ht="32.25" customHeight="1" thickBot="1">
      <c r="B406" s="295"/>
      <c r="C406" s="338" t="s">
        <v>11</v>
      </c>
      <c r="D406" s="333"/>
      <c r="E406" s="379"/>
      <c r="F406" s="380"/>
      <c r="G406" s="408"/>
      <c r="H406" s="408"/>
      <c r="I406" s="413"/>
      <c r="J406" s="413"/>
      <c r="K406" s="101"/>
      <c r="L406" s="426"/>
    </row>
    <row r="407" spans="2:12" ht="15" customHeight="1">
      <c r="B407" s="295" t="s">
        <v>711</v>
      </c>
      <c r="C407" s="300" t="s">
        <v>437</v>
      </c>
      <c r="D407" s="348" t="s">
        <v>712</v>
      </c>
      <c r="E407" s="380">
        <v>43738</v>
      </c>
      <c r="F407" s="380">
        <v>44347</v>
      </c>
      <c r="G407" s="408">
        <v>46000</v>
      </c>
      <c r="H407" s="408">
        <f>G407*0.15</f>
        <v>6900</v>
      </c>
      <c r="I407" s="414"/>
      <c r="J407" s="414"/>
      <c r="K407" s="100" t="s">
        <v>96</v>
      </c>
      <c r="L407" s="427" t="s">
        <v>713</v>
      </c>
    </row>
    <row r="408" spans="2:12" ht="45.75" customHeight="1" thickBot="1">
      <c r="B408" s="295"/>
      <c r="C408" s="296"/>
      <c r="D408" s="357"/>
      <c r="E408" s="380"/>
      <c r="F408" s="380"/>
      <c r="G408" s="408"/>
      <c r="H408" s="408"/>
      <c r="I408" s="413"/>
      <c r="J408" s="413"/>
      <c r="K408" s="101"/>
      <c r="L408" s="427"/>
    </row>
    <row r="409" spans="2:12" ht="15" customHeight="1">
      <c r="B409" s="311" t="s">
        <v>714</v>
      </c>
      <c r="C409" s="329" t="s">
        <v>437</v>
      </c>
      <c r="D409" s="329" t="s">
        <v>56</v>
      </c>
      <c r="E409" s="380">
        <v>43738</v>
      </c>
      <c r="F409" s="401">
        <v>43951</v>
      </c>
      <c r="G409" s="411">
        <v>40000</v>
      </c>
      <c r="H409" s="408">
        <f>G409*0.15</f>
        <v>6000</v>
      </c>
      <c r="I409" s="414"/>
      <c r="J409" s="414"/>
      <c r="K409" s="100" t="s">
        <v>96</v>
      </c>
      <c r="L409" s="427" t="s">
        <v>715</v>
      </c>
    </row>
    <row r="410" spans="2:12" ht="27.75" customHeight="1" thickBot="1">
      <c r="B410" s="305"/>
      <c r="C410" s="341"/>
      <c r="D410" s="341"/>
      <c r="E410" s="381"/>
      <c r="F410" s="403"/>
      <c r="G410" s="412"/>
      <c r="H410" s="407"/>
      <c r="I410" s="101"/>
      <c r="J410" s="101"/>
      <c r="K410" s="101"/>
      <c r="L410" s="427"/>
    </row>
  </sheetData>
  <autoFilter ref="A1:L329" xr:uid="{00000000-0009-0000-0000-000003000000}"/>
  <mergeCells count="1707">
    <mergeCell ref="J367:J368"/>
    <mergeCell ref="K367:K368"/>
    <mergeCell ref="I365:I366"/>
    <mergeCell ref="J365:J366"/>
    <mergeCell ref="K365:K366"/>
    <mergeCell ref="I377:I386"/>
    <mergeCell ref="J377:J386"/>
    <mergeCell ref="K377:K386"/>
    <mergeCell ref="I387:I388"/>
    <mergeCell ref="J387:J388"/>
    <mergeCell ref="K387:K388"/>
    <mergeCell ref="I395:I398"/>
    <mergeCell ref="J395:J398"/>
    <mergeCell ref="K395:K398"/>
    <mergeCell ref="J399:J400"/>
    <mergeCell ref="K399:K400"/>
    <mergeCell ref="I393:I394"/>
    <mergeCell ref="J393:J394"/>
    <mergeCell ref="K393:K394"/>
    <mergeCell ref="I389:I390"/>
    <mergeCell ref="J389:J390"/>
    <mergeCell ref="K389:K390"/>
    <mergeCell ref="I391:I392"/>
    <mergeCell ref="J391:J392"/>
    <mergeCell ref="K391:K392"/>
    <mergeCell ref="I356:I360"/>
    <mergeCell ref="J356:J360"/>
    <mergeCell ref="K356:K360"/>
    <mergeCell ref="I361:I362"/>
    <mergeCell ref="J361:J362"/>
    <mergeCell ref="K361:K362"/>
    <mergeCell ref="I363:I364"/>
    <mergeCell ref="J363:J364"/>
    <mergeCell ref="K363:K364"/>
    <mergeCell ref="I375:I376"/>
    <mergeCell ref="J375:J376"/>
    <mergeCell ref="K375:K376"/>
    <mergeCell ref="I373:I374"/>
    <mergeCell ref="J373:J374"/>
    <mergeCell ref="K373:K374"/>
    <mergeCell ref="I371:I372"/>
    <mergeCell ref="J371:J372"/>
    <mergeCell ref="K371:K372"/>
    <mergeCell ref="I369:I370"/>
    <mergeCell ref="J369:J370"/>
    <mergeCell ref="K369:K370"/>
    <mergeCell ref="I336:I338"/>
    <mergeCell ref="J336:J338"/>
    <mergeCell ref="K336:K338"/>
    <mergeCell ref="I339:I340"/>
    <mergeCell ref="J339:J340"/>
    <mergeCell ref="K339:K340"/>
    <mergeCell ref="I341:I342"/>
    <mergeCell ref="J341:J342"/>
    <mergeCell ref="K341:K342"/>
    <mergeCell ref="I343:I347"/>
    <mergeCell ref="J343:J347"/>
    <mergeCell ref="K343:K347"/>
    <mergeCell ref="I409:I410"/>
    <mergeCell ref="J409:J410"/>
    <mergeCell ref="K409:K410"/>
    <mergeCell ref="I407:I408"/>
    <mergeCell ref="J407:J408"/>
    <mergeCell ref="K407:K408"/>
    <mergeCell ref="I405:I406"/>
    <mergeCell ref="J405:J406"/>
    <mergeCell ref="K405:K406"/>
    <mergeCell ref="I403:I404"/>
    <mergeCell ref="J403:J404"/>
    <mergeCell ref="K403:K404"/>
    <mergeCell ref="I401:I402"/>
    <mergeCell ref="J401:J402"/>
    <mergeCell ref="K401:K402"/>
    <mergeCell ref="K350:K351"/>
    <mergeCell ref="I352:I353"/>
    <mergeCell ref="J352:J353"/>
    <mergeCell ref="K352:K353"/>
    <mergeCell ref="I354:I355"/>
    <mergeCell ref="J354:J355"/>
    <mergeCell ref="K354:K355"/>
    <mergeCell ref="B407:B408"/>
    <mergeCell ref="C407:C408"/>
    <mergeCell ref="D407:D408"/>
    <mergeCell ref="E407:E408"/>
    <mergeCell ref="F407:F408"/>
    <mergeCell ref="G407:G408"/>
    <mergeCell ref="H407:H408"/>
    <mergeCell ref="L407:L408"/>
    <mergeCell ref="B409:B410"/>
    <mergeCell ref="C409:C410"/>
    <mergeCell ref="D409:D410"/>
    <mergeCell ref="E409:E410"/>
    <mergeCell ref="F409:F410"/>
    <mergeCell ref="G409:G410"/>
    <mergeCell ref="H409:H410"/>
    <mergeCell ref="L409:L410"/>
    <mergeCell ref="I330:I331"/>
    <mergeCell ref="J330:J331"/>
    <mergeCell ref="K330:K331"/>
    <mergeCell ref="I332:I333"/>
    <mergeCell ref="J332:J333"/>
    <mergeCell ref="K332:K333"/>
    <mergeCell ref="I334:I335"/>
    <mergeCell ref="J334:J335"/>
    <mergeCell ref="K334:K335"/>
    <mergeCell ref="B401:B402"/>
    <mergeCell ref="C401:C402"/>
    <mergeCell ref="D401:D402"/>
    <mergeCell ref="E401:E402"/>
    <mergeCell ref="F401:F402"/>
    <mergeCell ref="G401:G402"/>
    <mergeCell ref="H401:H402"/>
    <mergeCell ref="L401:L402"/>
    <mergeCell ref="B403:B404"/>
    <mergeCell ref="C403:C404"/>
    <mergeCell ref="D403:D404"/>
    <mergeCell ref="E403:E404"/>
    <mergeCell ref="F403:F404"/>
    <mergeCell ref="G403:G404"/>
    <mergeCell ref="H403:H404"/>
    <mergeCell ref="L403:L404"/>
    <mergeCell ref="B405:B406"/>
    <mergeCell ref="E405:E406"/>
    <mergeCell ref="F405:F406"/>
    <mergeCell ref="G405:G406"/>
    <mergeCell ref="H405:H406"/>
    <mergeCell ref="L405:L406"/>
    <mergeCell ref="B393:B394"/>
    <mergeCell ref="C393:C394"/>
    <mergeCell ref="D393:D394"/>
    <mergeCell ref="E393:E394"/>
    <mergeCell ref="F393:F394"/>
    <mergeCell ref="G393:G394"/>
    <mergeCell ref="H393:H394"/>
    <mergeCell ref="L393:L394"/>
    <mergeCell ref="B395:B398"/>
    <mergeCell ref="E395:E398"/>
    <mergeCell ref="F395:F398"/>
    <mergeCell ref="G395:G398"/>
    <mergeCell ref="H395:H398"/>
    <mergeCell ref="L395:L398"/>
    <mergeCell ref="B399:B400"/>
    <mergeCell ref="C399:C400"/>
    <mergeCell ref="D399:D400"/>
    <mergeCell ref="E399:E400"/>
    <mergeCell ref="F399:F400"/>
    <mergeCell ref="G399:G400"/>
    <mergeCell ref="H399:H400"/>
    <mergeCell ref="L399:L400"/>
    <mergeCell ref="I399:I400"/>
    <mergeCell ref="B387:B388"/>
    <mergeCell ref="C387:C388"/>
    <mergeCell ref="D387:D388"/>
    <mergeCell ref="E387:E388"/>
    <mergeCell ref="F387:F388"/>
    <mergeCell ref="G387:G388"/>
    <mergeCell ref="H387:H388"/>
    <mergeCell ref="L387:L388"/>
    <mergeCell ref="B389:B390"/>
    <mergeCell ref="E389:E390"/>
    <mergeCell ref="F389:F390"/>
    <mergeCell ref="G389:G390"/>
    <mergeCell ref="H389:H390"/>
    <mergeCell ref="L389:L390"/>
    <mergeCell ref="B391:B392"/>
    <mergeCell ref="C391:C392"/>
    <mergeCell ref="D391:D392"/>
    <mergeCell ref="E391:E392"/>
    <mergeCell ref="F391:F392"/>
    <mergeCell ref="G391:G392"/>
    <mergeCell ref="H391:H392"/>
    <mergeCell ref="L391:L392"/>
    <mergeCell ref="B373:B374"/>
    <mergeCell ref="E373:E374"/>
    <mergeCell ref="F373:F374"/>
    <mergeCell ref="G373:G374"/>
    <mergeCell ref="H373:H374"/>
    <mergeCell ref="L373:L374"/>
    <mergeCell ref="B375:B376"/>
    <mergeCell ref="E375:E376"/>
    <mergeCell ref="F375:F376"/>
    <mergeCell ref="G375:G376"/>
    <mergeCell ref="H375:H376"/>
    <mergeCell ref="L375:L376"/>
    <mergeCell ref="B377:B386"/>
    <mergeCell ref="E377:E386"/>
    <mergeCell ref="F377:F386"/>
    <mergeCell ref="G377:G386"/>
    <mergeCell ref="H377:H386"/>
    <mergeCell ref="L377:L386"/>
    <mergeCell ref="B367:B368"/>
    <mergeCell ref="C367:C368"/>
    <mergeCell ref="D367:D368"/>
    <mergeCell ref="E367:E368"/>
    <mergeCell ref="F367:F368"/>
    <mergeCell ref="G367:G368"/>
    <mergeCell ref="H367:H368"/>
    <mergeCell ref="L367:L368"/>
    <mergeCell ref="B369:B370"/>
    <mergeCell ref="E369:E370"/>
    <mergeCell ref="F369:F370"/>
    <mergeCell ref="G369:G370"/>
    <mergeCell ref="H369:H370"/>
    <mergeCell ref="L369:L370"/>
    <mergeCell ref="B371:B372"/>
    <mergeCell ref="C371:C372"/>
    <mergeCell ref="D371:D372"/>
    <mergeCell ref="E371:E372"/>
    <mergeCell ref="F371:F372"/>
    <mergeCell ref="G371:G372"/>
    <mergeCell ref="H371:H372"/>
    <mergeCell ref="L371:L372"/>
    <mergeCell ref="I367:I368"/>
    <mergeCell ref="B361:B362"/>
    <mergeCell ref="C361:C362"/>
    <mergeCell ref="D361:D362"/>
    <mergeCell ref="E361:E362"/>
    <mergeCell ref="F361:F362"/>
    <mergeCell ref="G361:G362"/>
    <mergeCell ref="H361:H362"/>
    <mergeCell ref="L361:L362"/>
    <mergeCell ref="B363:B364"/>
    <mergeCell ref="C363:C364"/>
    <mergeCell ref="D363:D364"/>
    <mergeCell ref="E363:E364"/>
    <mergeCell ref="F363:F364"/>
    <mergeCell ref="G363:G364"/>
    <mergeCell ref="H363:H364"/>
    <mergeCell ref="L363:L364"/>
    <mergeCell ref="B365:B366"/>
    <mergeCell ref="C365:C366"/>
    <mergeCell ref="D365:D366"/>
    <mergeCell ref="E365:E366"/>
    <mergeCell ref="F365:F366"/>
    <mergeCell ref="G365:G366"/>
    <mergeCell ref="H365:H366"/>
    <mergeCell ref="L365:L366"/>
    <mergeCell ref="B352:B353"/>
    <mergeCell ref="E352:E353"/>
    <mergeCell ref="F352:F353"/>
    <mergeCell ref="G352:G353"/>
    <mergeCell ref="H352:H353"/>
    <mergeCell ref="L352:L353"/>
    <mergeCell ref="B354:B355"/>
    <mergeCell ref="C354:C355"/>
    <mergeCell ref="D354:D355"/>
    <mergeCell ref="E354:E355"/>
    <mergeCell ref="F354:F355"/>
    <mergeCell ref="G354:G355"/>
    <mergeCell ref="H354:H355"/>
    <mergeCell ref="L354:L355"/>
    <mergeCell ref="B356:B360"/>
    <mergeCell ref="E356:E360"/>
    <mergeCell ref="F356:F360"/>
    <mergeCell ref="G356:G360"/>
    <mergeCell ref="H356:H360"/>
    <mergeCell ref="L356:L360"/>
    <mergeCell ref="B343:B347"/>
    <mergeCell ref="E343:E347"/>
    <mergeCell ref="F343:F347"/>
    <mergeCell ref="G343:G347"/>
    <mergeCell ref="H343:H347"/>
    <mergeCell ref="L343:L347"/>
    <mergeCell ref="B348:B349"/>
    <mergeCell ref="E348:E349"/>
    <mergeCell ref="F348:F349"/>
    <mergeCell ref="G348:G349"/>
    <mergeCell ref="H348:H349"/>
    <mergeCell ref="L348:L349"/>
    <mergeCell ref="B350:B351"/>
    <mergeCell ref="E350:E351"/>
    <mergeCell ref="F350:F351"/>
    <mergeCell ref="G350:G351"/>
    <mergeCell ref="H350:H351"/>
    <mergeCell ref="L350:L351"/>
    <mergeCell ref="I348:I349"/>
    <mergeCell ref="J348:J349"/>
    <mergeCell ref="K348:K349"/>
    <mergeCell ref="I350:I351"/>
    <mergeCell ref="J350:J351"/>
    <mergeCell ref="B336:B338"/>
    <mergeCell ref="E336:E338"/>
    <mergeCell ref="F336:F338"/>
    <mergeCell ref="G336:G338"/>
    <mergeCell ref="H336:H338"/>
    <mergeCell ref="L336:L338"/>
    <mergeCell ref="B339:B340"/>
    <mergeCell ref="C339:C340"/>
    <mergeCell ref="D339:D340"/>
    <mergeCell ref="E339:E340"/>
    <mergeCell ref="F339:F340"/>
    <mergeCell ref="G339:G340"/>
    <mergeCell ref="H339:H340"/>
    <mergeCell ref="L339:L340"/>
    <mergeCell ref="B341:B342"/>
    <mergeCell ref="C341:C342"/>
    <mergeCell ref="D341:D342"/>
    <mergeCell ref="E341:E342"/>
    <mergeCell ref="F341:F342"/>
    <mergeCell ref="G341:G342"/>
    <mergeCell ref="H341:H342"/>
    <mergeCell ref="L341:L342"/>
    <mergeCell ref="B330:B331"/>
    <mergeCell ref="C330:C331"/>
    <mergeCell ref="D330:D331"/>
    <mergeCell ref="E330:E331"/>
    <mergeCell ref="F330:F331"/>
    <mergeCell ref="G330:G331"/>
    <mergeCell ref="H330:H331"/>
    <mergeCell ref="L330:L331"/>
    <mergeCell ref="B332:B333"/>
    <mergeCell ref="C332:C333"/>
    <mergeCell ref="D332:D333"/>
    <mergeCell ref="E332:E333"/>
    <mergeCell ref="F332:F333"/>
    <mergeCell ref="G332:G333"/>
    <mergeCell ref="H332:H333"/>
    <mergeCell ref="L332:L333"/>
    <mergeCell ref="B334:B335"/>
    <mergeCell ref="C334:C335"/>
    <mergeCell ref="D334:D335"/>
    <mergeCell ref="E334:E335"/>
    <mergeCell ref="F334:F335"/>
    <mergeCell ref="G334:G335"/>
    <mergeCell ref="H334:H335"/>
    <mergeCell ref="L334:L335"/>
    <mergeCell ref="K307:K308"/>
    <mergeCell ref="L307:L308"/>
    <mergeCell ref="A309:A310"/>
    <mergeCell ref="B309:B310"/>
    <mergeCell ref="C309:C310"/>
    <mergeCell ref="D309:D310"/>
    <mergeCell ref="E309:E310"/>
    <mergeCell ref="G315:G318"/>
    <mergeCell ref="F311:F312"/>
    <mergeCell ref="G311:G312"/>
    <mergeCell ref="H311:H312"/>
    <mergeCell ref="I311:I312"/>
    <mergeCell ref="J311:J312"/>
    <mergeCell ref="K311:K312"/>
    <mergeCell ref="L311:L312"/>
    <mergeCell ref="H315:H318"/>
    <mergeCell ref="L315:L318"/>
    <mergeCell ref="H309:H310"/>
    <mergeCell ref="I309:I310"/>
    <mergeCell ref="J309:J310"/>
    <mergeCell ref="K309:K310"/>
    <mergeCell ref="L309:L310"/>
    <mergeCell ref="A319:A322"/>
    <mergeCell ref="B319:B322"/>
    <mergeCell ref="E319:E322"/>
    <mergeCell ref="F319:F322"/>
    <mergeCell ref="G319:G322"/>
    <mergeCell ref="H319:H322"/>
    <mergeCell ref="L319:L32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K313:K314"/>
    <mergeCell ref="L313:L314"/>
    <mergeCell ref="A315:A318"/>
    <mergeCell ref="B315:B318"/>
    <mergeCell ref="E315:E318"/>
    <mergeCell ref="F315:F318"/>
    <mergeCell ref="G297:G298"/>
    <mergeCell ref="L273:L274"/>
    <mergeCell ref="A299:A300"/>
    <mergeCell ref="B299:B300"/>
    <mergeCell ref="A311:A312"/>
    <mergeCell ref="B311:B312"/>
    <mergeCell ref="C311:C312"/>
    <mergeCell ref="D311:D312"/>
    <mergeCell ref="E311:E312"/>
    <mergeCell ref="H297:H298"/>
    <mergeCell ref="I297:I298"/>
    <mergeCell ref="J297:J298"/>
    <mergeCell ref="K297:K298"/>
    <mergeCell ref="A305:A306"/>
    <mergeCell ref="B305:B306"/>
    <mergeCell ref="E305:E306"/>
    <mergeCell ref="F305:F306"/>
    <mergeCell ref="A301:A302"/>
    <mergeCell ref="B301:B302"/>
    <mergeCell ref="E301:E302"/>
    <mergeCell ref="F301:F302"/>
    <mergeCell ref="G305:G306"/>
    <mergeCell ref="E303:E304"/>
    <mergeCell ref="L275:L277"/>
    <mergeCell ref="I273:I274"/>
    <mergeCell ref="L303:L304"/>
    <mergeCell ref="L305:L306"/>
    <mergeCell ref="B278:B280"/>
    <mergeCell ref="A281:A282"/>
    <mergeCell ref="B281:B282"/>
    <mergeCell ref="A283:A284"/>
    <mergeCell ref="B283:B284"/>
    <mergeCell ref="A271:A272"/>
    <mergeCell ref="B271:B272"/>
    <mergeCell ref="A293:A294"/>
    <mergeCell ref="B293:B294"/>
    <mergeCell ref="E293:E294"/>
    <mergeCell ref="F293:F294"/>
    <mergeCell ref="A275:A277"/>
    <mergeCell ref="B275:B277"/>
    <mergeCell ref="E273:E274"/>
    <mergeCell ref="A297:A298"/>
    <mergeCell ref="B297:B298"/>
    <mergeCell ref="C297:C298"/>
    <mergeCell ref="D297:D298"/>
    <mergeCell ref="E297:E298"/>
    <mergeCell ref="F297:F298"/>
    <mergeCell ref="E295:E296"/>
    <mergeCell ref="F295:F296"/>
    <mergeCell ref="A285:A286"/>
    <mergeCell ref="B285:B286"/>
    <mergeCell ref="C285:C286"/>
    <mergeCell ref="C287:C288"/>
    <mergeCell ref="D273:D274"/>
    <mergeCell ref="E289:E290"/>
    <mergeCell ref="F289:F290"/>
    <mergeCell ref="D285:D286"/>
    <mergeCell ref="E285:E286"/>
    <mergeCell ref="F285:F286"/>
    <mergeCell ref="D287:D288"/>
    <mergeCell ref="A273:A274"/>
    <mergeCell ref="B273:B274"/>
    <mergeCell ref="C273:C274"/>
    <mergeCell ref="A278:A280"/>
    <mergeCell ref="L226:L227"/>
    <mergeCell ref="I226:I227"/>
    <mergeCell ref="G224:G225"/>
    <mergeCell ref="H236:H237"/>
    <mergeCell ref="E224:E225"/>
    <mergeCell ref="G247:G248"/>
    <mergeCell ref="H247:H248"/>
    <mergeCell ref="H285:H286"/>
    <mergeCell ref="I285:I286"/>
    <mergeCell ref="J285:J286"/>
    <mergeCell ref="K285:K286"/>
    <mergeCell ref="L285:L286"/>
    <mergeCell ref="F275:F277"/>
    <mergeCell ref="G275:G277"/>
    <mergeCell ref="K271:K272"/>
    <mergeCell ref="L271:L272"/>
    <mergeCell ref="L259:L260"/>
    <mergeCell ref="E278:E280"/>
    <mergeCell ref="F278:F280"/>
    <mergeCell ref="G278:G280"/>
    <mergeCell ref="H278:H280"/>
    <mergeCell ref="L278:L280"/>
    <mergeCell ref="H275:H277"/>
    <mergeCell ref="L228:L229"/>
    <mergeCell ref="I249:I250"/>
    <mergeCell ref="J249:J250"/>
    <mergeCell ref="I234:I235"/>
    <mergeCell ref="J234:J235"/>
    <mergeCell ref="H287:H288"/>
    <mergeCell ref="I287:I288"/>
    <mergeCell ref="E287:E288"/>
    <mergeCell ref="F287:F288"/>
    <mergeCell ref="G285:G286"/>
    <mergeCell ref="G283:G284"/>
    <mergeCell ref="H283:H284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K281:K282"/>
    <mergeCell ref="L281:L282"/>
    <mergeCell ref="I283:I284"/>
    <mergeCell ref="C283:C284"/>
    <mergeCell ref="D283:D284"/>
    <mergeCell ref="E283:E284"/>
    <mergeCell ref="F283:F284"/>
    <mergeCell ref="A247:A248"/>
    <mergeCell ref="D259:D260"/>
    <mergeCell ref="G299:G300"/>
    <mergeCell ref="L287:L288"/>
    <mergeCell ref="J283:J284"/>
    <mergeCell ref="D215:D216"/>
    <mergeCell ref="I215:I216"/>
    <mergeCell ref="J215:J216"/>
    <mergeCell ref="K215:K216"/>
    <mergeCell ref="I257:I258"/>
    <mergeCell ref="J257:J258"/>
    <mergeCell ref="K257:K258"/>
    <mergeCell ref="J287:J288"/>
    <mergeCell ref="K287:K288"/>
    <mergeCell ref="L257:L258"/>
    <mergeCell ref="G261:G264"/>
    <mergeCell ref="H255:H256"/>
    <mergeCell ref="I255:I256"/>
    <mergeCell ref="J255:J256"/>
    <mergeCell ref="K255:K256"/>
    <mergeCell ref="L255:L256"/>
    <mergeCell ref="L299:L300"/>
    <mergeCell ref="K283:K284"/>
    <mergeCell ref="L283:L284"/>
    <mergeCell ref="E299:E300"/>
    <mergeCell ref="F299:F300"/>
    <mergeCell ref="H299:H300"/>
    <mergeCell ref="E275:E277"/>
    <mergeCell ref="L297:L298"/>
    <mergeCell ref="F273:F274"/>
    <mergeCell ref="G273:G274"/>
    <mergeCell ref="H273:H274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H261:H264"/>
    <mergeCell ref="L222:L223"/>
    <mergeCell ref="B211:B212"/>
    <mergeCell ref="B209:B210"/>
    <mergeCell ref="L211:L212"/>
    <mergeCell ref="L184:L185"/>
    <mergeCell ref="B184:B185"/>
    <mergeCell ref="C184:C185"/>
    <mergeCell ref="D184:D185"/>
    <mergeCell ref="E184:E185"/>
    <mergeCell ref="F184:F185"/>
    <mergeCell ref="G184:G185"/>
    <mergeCell ref="H184:H185"/>
    <mergeCell ref="B205:B206"/>
    <mergeCell ref="L200:L202"/>
    <mergeCell ref="L203:L204"/>
    <mergeCell ref="E194:E195"/>
    <mergeCell ref="F194:F195"/>
    <mergeCell ref="E205:E206"/>
    <mergeCell ref="F205:F206"/>
    <mergeCell ref="G205:G206"/>
    <mergeCell ref="H205:H206"/>
    <mergeCell ref="L205:L206"/>
    <mergeCell ref="I207:I208"/>
    <mergeCell ref="J207:J208"/>
    <mergeCell ref="L207:L208"/>
    <mergeCell ref="L213:L214"/>
    <mergeCell ref="F203:F204"/>
    <mergeCell ref="E203:E204"/>
    <mergeCell ref="F209:F210"/>
    <mergeCell ref="G209:G210"/>
    <mergeCell ref="H207:H208"/>
    <mergeCell ref="C215:C216"/>
    <mergeCell ref="I211:I212"/>
    <mergeCell ref="K226:K227"/>
    <mergeCell ref="A236:A237"/>
    <mergeCell ref="K236:K237"/>
    <mergeCell ref="A232:A233"/>
    <mergeCell ref="B232:B233"/>
    <mergeCell ref="E232:E233"/>
    <mergeCell ref="K228:K229"/>
    <mergeCell ref="C236:C237"/>
    <mergeCell ref="D236:D237"/>
    <mergeCell ref="A203:A204"/>
    <mergeCell ref="B203:B204"/>
    <mergeCell ref="A198:A199"/>
    <mergeCell ref="B198:B199"/>
    <mergeCell ref="C198:C199"/>
    <mergeCell ref="K207:K208"/>
    <mergeCell ref="I222:I223"/>
    <mergeCell ref="G198:G199"/>
    <mergeCell ref="H198:H199"/>
    <mergeCell ref="I198:I199"/>
    <mergeCell ref="J198:J199"/>
    <mergeCell ref="K198:K199"/>
    <mergeCell ref="H203:H204"/>
    <mergeCell ref="K203:K204"/>
    <mergeCell ref="A200:A202"/>
    <mergeCell ref="B200:B202"/>
    <mergeCell ref="E200:E202"/>
    <mergeCell ref="F200:F202"/>
    <mergeCell ref="A209:A210"/>
    <mergeCell ref="H224:H225"/>
    <mergeCell ref="H209:H210"/>
    <mergeCell ref="I200:I202"/>
    <mergeCell ref="L188:L189"/>
    <mergeCell ref="H190:H191"/>
    <mergeCell ref="I190:I191"/>
    <mergeCell ref="J190:J191"/>
    <mergeCell ref="K190:K191"/>
    <mergeCell ref="L194:L195"/>
    <mergeCell ref="F207:F208"/>
    <mergeCell ref="G207:G208"/>
    <mergeCell ref="J184:J185"/>
    <mergeCell ref="J203:J204"/>
    <mergeCell ref="L172:L173"/>
    <mergeCell ref="A174:A177"/>
    <mergeCell ref="B174:B177"/>
    <mergeCell ref="E170:E171"/>
    <mergeCell ref="F170:F171"/>
    <mergeCell ref="B178:B179"/>
    <mergeCell ref="E178:E179"/>
    <mergeCell ref="G170:G171"/>
    <mergeCell ref="H170:H171"/>
    <mergeCell ref="I170:I171"/>
    <mergeCell ref="J170:J171"/>
    <mergeCell ref="L190:L191"/>
    <mergeCell ref="K182:K183"/>
    <mergeCell ref="L182:L183"/>
    <mergeCell ref="A184:A185"/>
    <mergeCell ref="L178:L179"/>
    <mergeCell ref="K184:K185"/>
    <mergeCell ref="G182:G183"/>
    <mergeCell ref="H182:H183"/>
    <mergeCell ref="A178:A179"/>
    <mergeCell ref="G180:G181"/>
    <mergeCell ref="H180:H181"/>
    <mergeCell ref="F186:F187"/>
    <mergeCell ref="D180:D181"/>
    <mergeCell ref="E180:E181"/>
    <mergeCell ref="F180:F181"/>
    <mergeCell ref="G178:G179"/>
    <mergeCell ref="H178:H179"/>
    <mergeCell ref="D198:D199"/>
    <mergeCell ref="E198:E199"/>
    <mergeCell ref="F198:F199"/>
    <mergeCell ref="B188:B189"/>
    <mergeCell ref="H188:H189"/>
    <mergeCell ref="A192:A193"/>
    <mergeCell ref="B192:B193"/>
    <mergeCell ref="C192:C193"/>
    <mergeCell ref="D192:D193"/>
    <mergeCell ref="E192:E193"/>
    <mergeCell ref="F192:F193"/>
    <mergeCell ref="G192:G193"/>
    <mergeCell ref="A194:A195"/>
    <mergeCell ref="B194:B195"/>
    <mergeCell ref="C194:C195"/>
    <mergeCell ref="F178:F179"/>
    <mergeCell ref="B196:B197"/>
    <mergeCell ref="A190:A191"/>
    <mergeCell ref="B190:B191"/>
    <mergeCell ref="A196:A197"/>
    <mergeCell ref="C182:C183"/>
    <mergeCell ref="D182:D183"/>
    <mergeCell ref="E182:E183"/>
    <mergeCell ref="F182:F183"/>
    <mergeCell ref="E174:E177"/>
    <mergeCell ref="F174:F177"/>
    <mergeCell ref="G174:G177"/>
    <mergeCell ref="H174:H177"/>
    <mergeCell ref="L174:L177"/>
    <mergeCell ref="A170:A171"/>
    <mergeCell ref="B170:B171"/>
    <mergeCell ref="C170:C171"/>
    <mergeCell ref="D170:D171"/>
    <mergeCell ref="A172:A173"/>
    <mergeCell ref="B172:B173"/>
    <mergeCell ref="E172:E173"/>
    <mergeCell ref="F172:F173"/>
    <mergeCell ref="G172:G173"/>
    <mergeCell ref="H172:H173"/>
    <mergeCell ref="K170:K171"/>
    <mergeCell ref="L170:L171"/>
    <mergeCell ref="K180:K181"/>
    <mergeCell ref="L180:L181"/>
    <mergeCell ref="C180:C181"/>
    <mergeCell ref="A182:A183"/>
    <mergeCell ref="A157:A164"/>
    <mergeCell ref="B157:B164"/>
    <mergeCell ref="E157:E164"/>
    <mergeCell ref="F157:F164"/>
    <mergeCell ref="G157:G164"/>
    <mergeCell ref="L157:L164"/>
    <mergeCell ref="A155:A156"/>
    <mergeCell ref="A153:A154"/>
    <mergeCell ref="B153:B154"/>
    <mergeCell ref="C153:C154"/>
    <mergeCell ref="D153:D154"/>
    <mergeCell ref="E153:E154"/>
    <mergeCell ref="F153:F154"/>
    <mergeCell ref="J153:J154"/>
    <mergeCell ref="K167:K169"/>
    <mergeCell ref="L167:L169"/>
    <mergeCell ref="A167:A169"/>
    <mergeCell ref="B167:B169"/>
    <mergeCell ref="E167:E169"/>
    <mergeCell ref="F167:F169"/>
    <mergeCell ref="G167:G169"/>
    <mergeCell ref="H167:H169"/>
    <mergeCell ref="I167:I169"/>
    <mergeCell ref="J167:J169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B125:B130"/>
    <mergeCell ref="I153:I154"/>
    <mergeCell ref="B155:B156"/>
    <mergeCell ref="C155:C156"/>
    <mergeCell ref="D155:D156"/>
    <mergeCell ref="E155:E156"/>
    <mergeCell ref="H157:H164"/>
    <mergeCell ref="I139:I140"/>
    <mergeCell ref="J139:J140"/>
    <mergeCell ref="F151:F152"/>
    <mergeCell ref="G151:G152"/>
    <mergeCell ref="H151:H152"/>
    <mergeCell ref="B139:B140"/>
    <mergeCell ref="E139:E140"/>
    <mergeCell ref="D112:D113"/>
    <mergeCell ref="E112:E113"/>
    <mergeCell ref="E131:E134"/>
    <mergeCell ref="F131:F134"/>
    <mergeCell ref="G131:G134"/>
    <mergeCell ref="J151:J152"/>
    <mergeCell ref="I118:I119"/>
    <mergeCell ref="J118:J119"/>
    <mergeCell ref="F116:F117"/>
    <mergeCell ref="G116:G117"/>
    <mergeCell ref="H116:H117"/>
    <mergeCell ref="J116:J117"/>
    <mergeCell ref="G139:G140"/>
    <mergeCell ref="H139:H140"/>
    <mergeCell ref="F139:F140"/>
    <mergeCell ref="J137:J138"/>
    <mergeCell ref="D151:D152"/>
    <mergeCell ref="E151:E152"/>
    <mergeCell ref="I151:I152"/>
    <mergeCell ref="F123:F124"/>
    <mergeCell ref="G123:G124"/>
    <mergeCell ref="H123:H124"/>
    <mergeCell ref="I137:I138"/>
    <mergeCell ref="D135:D136"/>
    <mergeCell ref="E135:E136"/>
    <mergeCell ref="F135:F136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D114:D115"/>
    <mergeCell ref="J135:J136"/>
    <mergeCell ref="A116:A117"/>
    <mergeCell ref="B116:B117"/>
    <mergeCell ref="C116:C117"/>
    <mergeCell ref="D116:D117"/>
    <mergeCell ref="E116:E117"/>
    <mergeCell ref="I116:I117"/>
    <mergeCell ref="F125:F130"/>
    <mergeCell ref="C118:C119"/>
    <mergeCell ref="D118:D119"/>
    <mergeCell ref="B120:B122"/>
    <mergeCell ref="E120:E122"/>
    <mergeCell ref="K116:K117"/>
    <mergeCell ref="L116:L117"/>
    <mergeCell ref="A114:A115"/>
    <mergeCell ref="B114:B115"/>
    <mergeCell ref="C114:C115"/>
    <mergeCell ref="L102:L105"/>
    <mergeCell ref="A100:A101"/>
    <mergeCell ref="B100:B101"/>
    <mergeCell ref="I98:I99"/>
    <mergeCell ref="H102:H105"/>
    <mergeCell ref="A89:A91"/>
    <mergeCell ref="B89:B91"/>
    <mergeCell ref="E89:E91"/>
    <mergeCell ref="F89:F91"/>
    <mergeCell ref="G89:G91"/>
    <mergeCell ref="H89:H91"/>
    <mergeCell ref="D98:D99"/>
    <mergeCell ref="A110:A111"/>
    <mergeCell ref="B110:B111"/>
    <mergeCell ref="A112:A113"/>
    <mergeCell ref="B112:B113"/>
    <mergeCell ref="C112:C113"/>
    <mergeCell ref="C110:C111"/>
    <mergeCell ref="D110:D111"/>
    <mergeCell ref="E110:E111"/>
    <mergeCell ref="F110:F111"/>
    <mergeCell ref="F112:F113"/>
    <mergeCell ref="G112:G113"/>
    <mergeCell ref="H112:H113"/>
    <mergeCell ref="G98:G99"/>
    <mergeCell ref="H98:H99"/>
    <mergeCell ref="C100:C101"/>
    <mergeCell ref="D100:D101"/>
    <mergeCell ref="I110:I111"/>
    <mergeCell ref="J110:J111"/>
    <mergeCell ref="K110:K111"/>
    <mergeCell ref="L110:L111"/>
    <mergeCell ref="K108:K109"/>
    <mergeCell ref="L108:L109"/>
    <mergeCell ref="I112:I113"/>
    <mergeCell ref="J112:J113"/>
    <mergeCell ref="K112:K113"/>
    <mergeCell ref="L112:L113"/>
    <mergeCell ref="H108:H109"/>
    <mergeCell ref="I108:I109"/>
    <mergeCell ref="D108:D109"/>
    <mergeCell ref="E108:E109"/>
    <mergeCell ref="J108:J109"/>
    <mergeCell ref="G110:G111"/>
    <mergeCell ref="H110:H111"/>
    <mergeCell ref="F108:F109"/>
    <mergeCell ref="G108:G109"/>
    <mergeCell ref="E74:E75"/>
    <mergeCell ref="F74:F75"/>
    <mergeCell ref="G74:G75"/>
    <mergeCell ref="H74:H75"/>
    <mergeCell ref="L74:L75"/>
    <mergeCell ref="J74:J75"/>
    <mergeCell ref="I74:I75"/>
    <mergeCell ref="K74:K75"/>
    <mergeCell ref="L89:L91"/>
    <mergeCell ref="L87:L88"/>
    <mergeCell ref="L85:L86"/>
    <mergeCell ref="J87:J88"/>
    <mergeCell ref="K87:K88"/>
    <mergeCell ref="L92:L97"/>
    <mergeCell ref="L106:L107"/>
    <mergeCell ref="F85:F86"/>
    <mergeCell ref="G85:G86"/>
    <mergeCell ref="A85:A86"/>
    <mergeCell ref="B85:B86"/>
    <mergeCell ref="A108:A109"/>
    <mergeCell ref="B108:B109"/>
    <mergeCell ref="C108:C109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G100:G101"/>
    <mergeCell ref="H100:H101"/>
    <mergeCell ref="I106:I107"/>
    <mergeCell ref="A98:A99"/>
    <mergeCell ref="A102:A105"/>
    <mergeCell ref="B102:B105"/>
    <mergeCell ref="E102:E105"/>
    <mergeCell ref="F102:F105"/>
    <mergeCell ref="A92:A97"/>
    <mergeCell ref="B92:B97"/>
    <mergeCell ref="E92:E97"/>
    <mergeCell ref="F92:F97"/>
    <mergeCell ref="G92:G97"/>
    <mergeCell ref="H92:H97"/>
    <mergeCell ref="C85:C86"/>
    <mergeCell ref="D85:D86"/>
    <mergeCell ref="E85:E86"/>
    <mergeCell ref="F98:F99"/>
    <mergeCell ref="I87:I88"/>
    <mergeCell ref="L67:L69"/>
    <mergeCell ref="A70:A71"/>
    <mergeCell ref="B70:B71"/>
    <mergeCell ref="C70:C71"/>
    <mergeCell ref="D70:D71"/>
    <mergeCell ref="E70:E71"/>
    <mergeCell ref="F70:F71"/>
    <mergeCell ref="J70:J71"/>
    <mergeCell ref="K70:K71"/>
    <mergeCell ref="L70:L71"/>
    <mergeCell ref="I70:I71"/>
    <mergeCell ref="G76:G77"/>
    <mergeCell ref="A80:A82"/>
    <mergeCell ref="B80:B82"/>
    <mergeCell ref="E80:E82"/>
    <mergeCell ref="F80:F82"/>
    <mergeCell ref="H72:H73"/>
    <mergeCell ref="I72:I73"/>
    <mergeCell ref="G78:G79"/>
    <mergeCell ref="H78:H79"/>
    <mergeCell ref="I78:I79"/>
    <mergeCell ref="J78:J79"/>
    <mergeCell ref="K78:K79"/>
    <mergeCell ref="L78:L79"/>
    <mergeCell ref="J72:J73"/>
    <mergeCell ref="K72:K73"/>
    <mergeCell ref="L72:L73"/>
    <mergeCell ref="A74:A75"/>
    <mergeCell ref="G67:G69"/>
    <mergeCell ref="H67:H69"/>
    <mergeCell ref="B74:B75"/>
    <mergeCell ref="C72:C73"/>
    <mergeCell ref="I62:I63"/>
    <mergeCell ref="J62:J63"/>
    <mergeCell ref="K62:K63"/>
    <mergeCell ref="L62:L63"/>
    <mergeCell ref="E60:E61"/>
    <mergeCell ref="F60:F61"/>
    <mergeCell ref="G60:G61"/>
    <mergeCell ref="H60:H61"/>
    <mergeCell ref="I58:I59"/>
    <mergeCell ref="J58:J59"/>
    <mergeCell ref="K58:K59"/>
    <mergeCell ref="L58:L59"/>
    <mergeCell ref="E56:E57"/>
    <mergeCell ref="F56:F57"/>
    <mergeCell ref="G48:G49"/>
    <mergeCell ref="I56:I57"/>
    <mergeCell ref="J56:J57"/>
    <mergeCell ref="K56:K57"/>
    <mergeCell ref="G56:G57"/>
    <mergeCell ref="H56:H57"/>
    <mergeCell ref="J48:J49"/>
    <mergeCell ref="I48:I49"/>
    <mergeCell ref="H48:H49"/>
    <mergeCell ref="L27:L28"/>
    <mergeCell ref="K29:K30"/>
    <mergeCell ref="L29:L30"/>
    <mergeCell ref="H37:H38"/>
    <mergeCell ref="H29:H30"/>
    <mergeCell ref="I29:I30"/>
    <mergeCell ref="J29:J30"/>
    <mergeCell ref="I37:I38"/>
    <mergeCell ref="J37:J38"/>
    <mergeCell ref="K37:K38"/>
    <mergeCell ref="L37:L38"/>
    <mergeCell ref="K46:K47"/>
    <mergeCell ref="L46:L47"/>
    <mergeCell ref="H44:H45"/>
    <mergeCell ref="I44:I45"/>
    <mergeCell ref="J44:J45"/>
    <mergeCell ref="K44:K45"/>
    <mergeCell ref="L44:L45"/>
    <mergeCell ref="I46:I47"/>
    <mergeCell ref="I42:I43"/>
    <mergeCell ref="J42:J43"/>
    <mergeCell ref="K42:K43"/>
    <mergeCell ref="H33:H36"/>
    <mergeCell ref="H39:H41"/>
    <mergeCell ref="J46:J47"/>
    <mergeCell ref="K27:K28"/>
    <mergeCell ref="D31:D32"/>
    <mergeCell ref="E31:E32"/>
    <mergeCell ref="H46:H47"/>
    <mergeCell ref="H31:H32"/>
    <mergeCell ref="I31:I32"/>
    <mergeCell ref="J31:J32"/>
    <mergeCell ref="H27:H28"/>
    <mergeCell ref="I27:I28"/>
    <mergeCell ref="J27:J28"/>
    <mergeCell ref="I19:I20"/>
    <mergeCell ref="J19:J20"/>
    <mergeCell ref="D27:D28"/>
    <mergeCell ref="E27:E28"/>
    <mergeCell ref="F27:F28"/>
    <mergeCell ref="H19:H20"/>
    <mergeCell ref="G44:G45"/>
    <mergeCell ref="A46:A47"/>
    <mergeCell ref="B46:B47"/>
    <mergeCell ref="F39:F41"/>
    <mergeCell ref="E46:E47"/>
    <mergeCell ref="F46:F47"/>
    <mergeCell ref="G46:G47"/>
    <mergeCell ref="A4:A5"/>
    <mergeCell ref="B4:B5"/>
    <mergeCell ref="C4:C5"/>
    <mergeCell ref="K19:K20"/>
    <mergeCell ref="L19:L20"/>
    <mergeCell ref="L42:L43"/>
    <mergeCell ref="L33:L36"/>
    <mergeCell ref="L39:L41"/>
    <mergeCell ref="H42:H43"/>
    <mergeCell ref="A17:A18"/>
    <mergeCell ref="B17:B18"/>
    <mergeCell ref="A33:A36"/>
    <mergeCell ref="B31:B32"/>
    <mergeCell ref="C31:C32"/>
    <mergeCell ref="B33:B36"/>
    <mergeCell ref="E33:E36"/>
    <mergeCell ref="F33:F36"/>
    <mergeCell ref="K31:K32"/>
    <mergeCell ref="L31:L32"/>
    <mergeCell ref="A19:A20"/>
    <mergeCell ref="A27:A28"/>
    <mergeCell ref="H17:H18"/>
    <mergeCell ref="B19:B20"/>
    <mergeCell ref="G39:G41"/>
    <mergeCell ref="L21:L26"/>
    <mergeCell ref="L17:L18"/>
    <mergeCell ref="A39:A41"/>
    <mergeCell ref="B39:B41"/>
    <mergeCell ref="E39:E41"/>
    <mergeCell ref="A37:A38"/>
    <mergeCell ref="B37:B38"/>
    <mergeCell ref="A31:A32"/>
    <mergeCell ref="B13:B14"/>
    <mergeCell ref="E13:E14"/>
    <mergeCell ref="F13:F14"/>
    <mergeCell ref="C19:C20"/>
    <mergeCell ref="D19:D20"/>
    <mergeCell ref="E19:E20"/>
    <mergeCell ref="F19:F20"/>
    <mergeCell ref="C37:C38"/>
    <mergeCell ref="D37:D38"/>
    <mergeCell ref="E37:E38"/>
    <mergeCell ref="H2:H3"/>
    <mergeCell ref="B2:B3"/>
    <mergeCell ref="K2:K3"/>
    <mergeCell ref="K4:K5"/>
    <mergeCell ref="E21:E26"/>
    <mergeCell ref="F21:F26"/>
    <mergeCell ref="G21:G26"/>
    <mergeCell ref="H21:H26"/>
    <mergeCell ref="K17:K18"/>
    <mergeCell ref="I4:I5"/>
    <mergeCell ref="J4:J5"/>
    <mergeCell ref="G11:G12"/>
    <mergeCell ref="H11:H12"/>
    <mergeCell ref="I11:I12"/>
    <mergeCell ref="K11:K12"/>
    <mergeCell ref="G15:G16"/>
    <mergeCell ref="H15:H16"/>
    <mergeCell ref="C15:C16"/>
    <mergeCell ref="B27:B28"/>
    <mergeCell ref="C27:C28"/>
    <mergeCell ref="F37:F38"/>
    <mergeCell ref="G37:G38"/>
    <mergeCell ref="L11:L12"/>
    <mergeCell ref="H4:H5"/>
    <mergeCell ref="G6:G10"/>
    <mergeCell ref="L2:L3"/>
    <mergeCell ref="G4:G5"/>
    <mergeCell ref="G2:G3"/>
    <mergeCell ref="L13:L14"/>
    <mergeCell ref="L15:L16"/>
    <mergeCell ref="L6:L10"/>
    <mergeCell ref="A2:A3"/>
    <mergeCell ref="C2:C3"/>
    <mergeCell ref="D2:D3"/>
    <mergeCell ref="E2:E3"/>
    <mergeCell ref="F2:F3"/>
    <mergeCell ref="L4:L5"/>
    <mergeCell ref="A6:A10"/>
    <mergeCell ref="B6:B10"/>
    <mergeCell ref="E6:E10"/>
    <mergeCell ref="F6:F10"/>
    <mergeCell ref="E4:E5"/>
    <mergeCell ref="I2:I3"/>
    <mergeCell ref="J2:J3"/>
    <mergeCell ref="K15:K16"/>
    <mergeCell ref="H13:H14"/>
    <mergeCell ref="D15:D16"/>
    <mergeCell ref="I15:I16"/>
    <mergeCell ref="A15:A16"/>
    <mergeCell ref="B15:B16"/>
    <mergeCell ref="E15:E16"/>
    <mergeCell ref="F15:F16"/>
    <mergeCell ref="F4:F5"/>
    <mergeCell ref="H6:H10"/>
    <mergeCell ref="D4:D5"/>
    <mergeCell ref="E11:E12"/>
    <mergeCell ref="F11:F12"/>
    <mergeCell ref="A11:A12"/>
    <mergeCell ref="B11:B12"/>
    <mergeCell ref="G33:G36"/>
    <mergeCell ref="C17:C18"/>
    <mergeCell ref="D17:D18"/>
    <mergeCell ref="I17:I18"/>
    <mergeCell ref="G17:G18"/>
    <mergeCell ref="A21:A26"/>
    <mergeCell ref="B21:B26"/>
    <mergeCell ref="E17:E18"/>
    <mergeCell ref="F17:F18"/>
    <mergeCell ref="G27:G28"/>
    <mergeCell ref="G19:G20"/>
    <mergeCell ref="J17:J18"/>
    <mergeCell ref="G13:G14"/>
    <mergeCell ref="J11:J12"/>
    <mergeCell ref="J15:J16"/>
    <mergeCell ref="F31:F32"/>
    <mergeCell ref="G31:G32"/>
    <mergeCell ref="A29:A30"/>
    <mergeCell ref="B29:B30"/>
    <mergeCell ref="C29:C30"/>
    <mergeCell ref="D29:D30"/>
    <mergeCell ref="E29:E30"/>
    <mergeCell ref="F29:F30"/>
    <mergeCell ref="G29:G30"/>
    <mergeCell ref="C11:C12"/>
    <mergeCell ref="D11:D12"/>
    <mergeCell ref="A13:A14"/>
    <mergeCell ref="A50:A51"/>
    <mergeCell ref="B50:B51"/>
    <mergeCell ref="E50:E51"/>
    <mergeCell ref="F50:F51"/>
    <mergeCell ref="G50:G51"/>
    <mergeCell ref="H50:H51"/>
    <mergeCell ref="L50:L51"/>
    <mergeCell ref="A42:A43"/>
    <mergeCell ref="B42:B43"/>
    <mergeCell ref="C42:C43"/>
    <mergeCell ref="D42:D43"/>
    <mergeCell ref="E42:E43"/>
    <mergeCell ref="F42:F43"/>
    <mergeCell ref="G42:G43"/>
    <mergeCell ref="A44:A45"/>
    <mergeCell ref="B44:B45"/>
    <mergeCell ref="C44:C45"/>
    <mergeCell ref="A48:A49"/>
    <mergeCell ref="B48:B49"/>
    <mergeCell ref="C48:C49"/>
    <mergeCell ref="D48:D49"/>
    <mergeCell ref="E48:E49"/>
    <mergeCell ref="F48:F49"/>
    <mergeCell ref="D44:D45"/>
    <mergeCell ref="E44:E45"/>
    <mergeCell ref="F44:F45"/>
    <mergeCell ref="K48:K49"/>
    <mergeCell ref="L48:L49"/>
    <mergeCell ref="A54:A55"/>
    <mergeCell ref="B54:B55"/>
    <mergeCell ref="E54:E55"/>
    <mergeCell ref="F54:F55"/>
    <mergeCell ref="G54:G55"/>
    <mergeCell ref="H54:H55"/>
    <mergeCell ref="L54:L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A56:A57"/>
    <mergeCell ref="B56:B57"/>
    <mergeCell ref="C56:C57"/>
    <mergeCell ref="D56:D57"/>
    <mergeCell ref="L56:L57"/>
    <mergeCell ref="L64:L66"/>
    <mergeCell ref="A67:A69"/>
    <mergeCell ref="A76:A77"/>
    <mergeCell ref="A58:A59"/>
    <mergeCell ref="B58:B59"/>
    <mergeCell ref="C58:C59"/>
    <mergeCell ref="D58:D59"/>
    <mergeCell ref="E58:E59"/>
    <mergeCell ref="F58:F59"/>
    <mergeCell ref="G58:G59"/>
    <mergeCell ref="H58:H59"/>
    <mergeCell ref="C74:C75"/>
    <mergeCell ref="C60:C61"/>
    <mergeCell ref="D60:D61"/>
    <mergeCell ref="G70:G71"/>
    <mergeCell ref="H70:H71"/>
    <mergeCell ref="C62:C63"/>
    <mergeCell ref="D62:D63"/>
    <mergeCell ref="A60:A61"/>
    <mergeCell ref="B60:B61"/>
    <mergeCell ref="A62:A63"/>
    <mergeCell ref="B62:B63"/>
    <mergeCell ref="A64:A66"/>
    <mergeCell ref="B67:B69"/>
    <mergeCell ref="E67:E69"/>
    <mergeCell ref="F67:F69"/>
    <mergeCell ref="I60:I61"/>
    <mergeCell ref="D72:D73"/>
    <mergeCell ref="J60:J61"/>
    <mergeCell ref="K60:K61"/>
    <mergeCell ref="L60:L61"/>
    <mergeCell ref="F72:F73"/>
    <mergeCell ref="G72:G73"/>
    <mergeCell ref="E72:E73"/>
    <mergeCell ref="E78:E79"/>
    <mergeCell ref="F78:F79"/>
    <mergeCell ref="A83:A84"/>
    <mergeCell ref="B83:B84"/>
    <mergeCell ref="C83:C84"/>
    <mergeCell ref="D83:D84"/>
    <mergeCell ref="L76:L77"/>
    <mergeCell ref="A72:A73"/>
    <mergeCell ref="C78:C79"/>
    <mergeCell ref="D78:D79"/>
    <mergeCell ref="B64:B66"/>
    <mergeCell ref="E64:E66"/>
    <mergeCell ref="F64:F66"/>
    <mergeCell ref="K76:K77"/>
    <mergeCell ref="E83:E84"/>
    <mergeCell ref="G83:G84"/>
    <mergeCell ref="G64:G66"/>
    <mergeCell ref="H64:H66"/>
    <mergeCell ref="K83:K84"/>
    <mergeCell ref="D74:D75"/>
    <mergeCell ref="B72:B73"/>
    <mergeCell ref="E62:E63"/>
    <mergeCell ref="F62:F63"/>
    <mergeCell ref="G62:G63"/>
    <mergeCell ref="H62:H63"/>
    <mergeCell ref="B98:B99"/>
    <mergeCell ref="L98:L99"/>
    <mergeCell ref="E100:E101"/>
    <mergeCell ref="L100:L101"/>
    <mergeCell ref="K100:K101"/>
    <mergeCell ref="C76:C77"/>
    <mergeCell ref="D76:D77"/>
    <mergeCell ref="E76:E77"/>
    <mergeCell ref="F76:F77"/>
    <mergeCell ref="F83:F84"/>
    <mergeCell ref="H76:H77"/>
    <mergeCell ref="I76:I77"/>
    <mergeCell ref="I83:I84"/>
    <mergeCell ref="J83:J84"/>
    <mergeCell ref="J76:J77"/>
    <mergeCell ref="A125:A130"/>
    <mergeCell ref="H83:H84"/>
    <mergeCell ref="I100:I101"/>
    <mergeCell ref="J106:J107"/>
    <mergeCell ref="G102:G105"/>
    <mergeCell ref="F120:F122"/>
    <mergeCell ref="G120:G122"/>
    <mergeCell ref="H120:H122"/>
    <mergeCell ref="L80:L82"/>
    <mergeCell ref="A78:A79"/>
    <mergeCell ref="B78:B79"/>
    <mergeCell ref="L125:L130"/>
    <mergeCell ref="G125:G130"/>
    <mergeCell ref="H125:H130"/>
    <mergeCell ref="E125:E130"/>
    <mergeCell ref="G80:G82"/>
    <mergeCell ref="H80:H82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F87:F88"/>
    <mergeCell ref="G87:G88"/>
    <mergeCell ref="H87:H88"/>
    <mergeCell ref="B76:B77"/>
    <mergeCell ref="K137:K138"/>
    <mergeCell ref="L83:L84"/>
    <mergeCell ref="K106:K107"/>
    <mergeCell ref="J100:J101"/>
    <mergeCell ref="F100:F101"/>
    <mergeCell ref="C98:C99"/>
    <mergeCell ref="E98:E99"/>
    <mergeCell ref="J98:J99"/>
    <mergeCell ref="K98:K99"/>
    <mergeCell ref="A118:A119"/>
    <mergeCell ref="B118:B119"/>
    <mergeCell ref="G135:G136"/>
    <mergeCell ref="H135:H136"/>
    <mergeCell ref="I135:I136"/>
    <mergeCell ref="A123:A124"/>
    <mergeCell ref="B123:B124"/>
    <mergeCell ref="C123:C124"/>
    <mergeCell ref="D123:D124"/>
    <mergeCell ref="E123:E124"/>
    <mergeCell ref="L155:L156"/>
    <mergeCell ref="A131:A134"/>
    <mergeCell ref="B131:B134"/>
    <mergeCell ref="A141:A144"/>
    <mergeCell ref="B141:B144"/>
    <mergeCell ref="E141:E144"/>
    <mergeCell ref="F141:F144"/>
    <mergeCell ref="G141:G144"/>
    <mergeCell ref="H141:H144"/>
    <mergeCell ref="L141:L144"/>
    <mergeCell ref="A145:A148"/>
    <mergeCell ref="B145:B148"/>
    <mergeCell ref="E145:E148"/>
    <mergeCell ref="F145:F148"/>
    <mergeCell ref="G145:G148"/>
    <mergeCell ref="H145:H148"/>
    <mergeCell ref="L145:L148"/>
    <mergeCell ref="A137:A138"/>
    <mergeCell ref="B137:B138"/>
    <mergeCell ref="C137:C138"/>
    <mergeCell ref="D137:D138"/>
    <mergeCell ref="E137:E138"/>
    <mergeCell ref="F137:F138"/>
    <mergeCell ref="G137:G138"/>
    <mergeCell ref="K139:K140"/>
    <mergeCell ref="L139:L140"/>
    <mergeCell ref="H137:H138"/>
    <mergeCell ref="A135:A136"/>
    <mergeCell ref="B135:B136"/>
    <mergeCell ref="C135:C136"/>
    <mergeCell ref="L151:L152"/>
    <mergeCell ref="K165:K166"/>
    <mergeCell ref="L165:L166"/>
    <mergeCell ref="L137:L138"/>
    <mergeCell ref="A139:A140"/>
    <mergeCell ref="K118:K119"/>
    <mergeCell ref="L118:L119"/>
    <mergeCell ref="E118:E119"/>
    <mergeCell ref="F118:F119"/>
    <mergeCell ref="G118:G119"/>
    <mergeCell ref="H118:H119"/>
    <mergeCell ref="I123:I124"/>
    <mergeCell ref="L120:L122"/>
    <mergeCell ref="G153:G154"/>
    <mergeCell ref="H153:H154"/>
    <mergeCell ref="F155:F156"/>
    <mergeCell ref="G155:G156"/>
    <mergeCell ref="H155:H156"/>
    <mergeCell ref="I155:I156"/>
    <mergeCell ref="J123:J124"/>
    <mergeCell ref="K123:K124"/>
    <mergeCell ref="L123:L124"/>
    <mergeCell ref="H131:H134"/>
    <mergeCell ref="L131:L134"/>
    <mergeCell ref="J155:J156"/>
    <mergeCell ref="K153:K154"/>
    <mergeCell ref="L153:L154"/>
    <mergeCell ref="K135:K136"/>
    <mergeCell ref="L135:L136"/>
    <mergeCell ref="A120:A122"/>
    <mergeCell ref="C139:C140"/>
    <mergeCell ref="D139:D140"/>
    <mergeCell ref="K155:K156"/>
    <mergeCell ref="L186:L187"/>
    <mergeCell ref="E188:E189"/>
    <mergeCell ref="F188:F189"/>
    <mergeCell ref="G188:G189"/>
    <mergeCell ref="I184:I185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A151:A152"/>
    <mergeCell ref="B151:B152"/>
    <mergeCell ref="C151:C152"/>
    <mergeCell ref="E186:E187"/>
    <mergeCell ref="K151:K152"/>
    <mergeCell ref="I180:I181"/>
    <mergeCell ref="J180:J181"/>
    <mergeCell ref="I182:I183"/>
    <mergeCell ref="A180:A181"/>
    <mergeCell ref="B180:B181"/>
    <mergeCell ref="A186:A187"/>
    <mergeCell ref="B186:B187"/>
    <mergeCell ref="A188:A189"/>
    <mergeCell ref="J182:J183"/>
    <mergeCell ref="B182:B183"/>
    <mergeCell ref="J200:J202"/>
    <mergeCell ref="K200:K202"/>
    <mergeCell ref="I203:I204"/>
    <mergeCell ref="C190:C191"/>
    <mergeCell ref="D190:D191"/>
    <mergeCell ref="E190:E191"/>
    <mergeCell ref="E209:E210"/>
    <mergeCell ref="L198:L199"/>
    <mergeCell ref="C203:C204"/>
    <mergeCell ref="D203:D204"/>
    <mergeCell ref="G194:G195"/>
    <mergeCell ref="H194:H195"/>
    <mergeCell ref="L196:L197"/>
    <mergeCell ref="K192:K193"/>
    <mergeCell ref="L192:L193"/>
    <mergeCell ref="I194:I195"/>
    <mergeCell ref="J194:J195"/>
    <mergeCell ref="K194:K195"/>
    <mergeCell ref="D194:D195"/>
    <mergeCell ref="C207:C208"/>
    <mergeCell ref="D207:D208"/>
    <mergeCell ref="E207:E208"/>
    <mergeCell ref="E196:E197"/>
    <mergeCell ref="F196:F197"/>
    <mergeCell ref="G196:G197"/>
    <mergeCell ref="H196:H197"/>
    <mergeCell ref="H192:H193"/>
    <mergeCell ref="I192:I193"/>
    <mergeCell ref="J192:J193"/>
    <mergeCell ref="G190:G191"/>
    <mergeCell ref="G203:G204"/>
    <mergeCell ref="L209:L210"/>
    <mergeCell ref="K213:K214"/>
    <mergeCell ref="G200:G202"/>
    <mergeCell ref="H200:H202"/>
    <mergeCell ref="A165:A166"/>
    <mergeCell ref="A228:A229"/>
    <mergeCell ref="A224:A225"/>
    <mergeCell ref="B224:B225"/>
    <mergeCell ref="G186:G187"/>
    <mergeCell ref="H186:H187"/>
    <mergeCell ref="J226:J227"/>
    <mergeCell ref="A211:A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A207:A208"/>
    <mergeCell ref="F190:F191"/>
    <mergeCell ref="B207:B208"/>
    <mergeCell ref="F211:F212"/>
    <mergeCell ref="G211:G212"/>
    <mergeCell ref="H211:H212"/>
    <mergeCell ref="H215:H216"/>
    <mergeCell ref="B226:B227"/>
    <mergeCell ref="C226:C227"/>
    <mergeCell ref="D226:D227"/>
    <mergeCell ref="E226:E227"/>
    <mergeCell ref="A215:A216"/>
    <mergeCell ref="B215:B216"/>
    <mergeCell ref="E215:E216"/>
    <mergeCell ref="F215:F216"/>
    <mergeCell ref="G215:G216"/>
    <mergeCell ref="A234:A235"/>
    <mergeCell ref="B234:B235"/>
    <mergeCell ref="D230:D231"/>
    <mergeCell ref="E230:E231"/>
    <mergeCell ref="F230:F231"/>
    <mergeCell ref="G230:G231"/>
    <mergeCell ref="H230:H231"/>
    <mergeCell ref="A230:A231"/>
    <mergeCell ref="A205:A206"/>
    <mergeCell ref="B228:B229"/>
    <mergeCell ref="L215:L216"/>
    <mergeCell ref="C211:C212"/>
    <mergeCell ref="D211:D212"/>
    <mergeCell ref="E211:E212"/>
    <mergeCell ref="L224:L225"/>
    <mergeCell ref="A222:A223"/>
    <mergeCell ref="D222:D223"/>
    <mergeCell ref="E222:E223"/>
    <mergeCell ref="F222:F223"/>
    <mergeCell ref="G222:G223"/>
    <mergeCell ref="H222:H223"/>
    <mergeCell ref="A219:A221"/>
    <mergeCell ref="B219:B221"/>
    <mergeCell ref="J211:J212"/>
    <mergeCell ref="K211:K212"/>
    <mergeCell ref="E219:E221"/>
    <mergeCell ref="F219:F221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A226:A227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G226:G227"/>
    <mergeCell ref="B222:B223"/>
    <mergeCell ref="C222:C223"/>
    <mergeCell ref="G219:G221"/>
    <mergeCell ref="H219:H221"/>
    <mergeCell ref="J222:J223"/>
    <mergeCell ref="K222:K223"/>
    <mergeCell ref="L219:L221"/>
    <mergeCell ref="F226:F227"/>
    <mergeCell ref="H226:H227"/>
    <mergeCell ref="F224:F225"/>
    <mergeCell ref="I230:I231"/>
    <mergeCell ref="J230:J231"/>
    <mergeCell ref="F232:F233"/>
    <mergeCell ref="C230:C231"/>
    <mergeCell ref="G232:G233"/>
    <mergeCell ref="H232:H233"/>
    <mergeCell ref="L232:L233"/>
    <mergeCell ref="L236:L237"/>
    <mergeCell ref="B244:B246"/>
    <mergeCell ref="E244:E246"/>
    <mergeCell ref="F244:F246"/>
    <mergeCell ref="G244:G246"/>
    <mergeCell ref="H244:H246"/>
    <mergeCell ref="L244:L246"/>
    <mergeCell ref="L238:L243"/>
    <mergeCell ref="K234:K235"/>
    <mergeCell ref="L234:L235"/>
    <mergeCell ref="G236:G237"/>
    <mergeCell ref="K230:K231"/>
    <mergeCell ref="L230:L231"/>
    <mergeCell ref="C234:C235"/>
    <mergeCell ref="D234:D235"/>
    <mergeCell ref="E234:E235"/>
    <mergeCell ref="F234:F235"/>
    <mergeCell ref="G234:G235"/>
    <mergeCell ref="H234:H235"/>
    <mergeCell ref="B230:B231"/>
    <mergeCell ref="E236:E237"/>
    <mergeCell ref="F236:F237"/>
    <mergeCell ref="I236:I237"/>
    <mergeCell ref="B236:B237"/>
    <mergeCell ref="B238:B243"/>
    <mergeCell ref="J236:J237"/>
    <mergeCell ref="B255:B256"/>
    <mergeCell ref="F238:F243"/>
    <mergeCell ref="G249:G250"/>
    <mergeCell ref="E255:E256"/>
    <mergeCell ref="A253:A254"/>
    <mergeCell ref="B253:B254"/>
    <mergeCell ref="I253:I254"/>
    <mergeCell ref="J253:J254"/>
    <mergeCell ref="K253:K254"/>
    <mergeCell ref="L253:L254"/>
    <mergeCell ref="I251:I252"/>
    <mergeCell ref="J251:J252"/>
    <mergeCell ref="D255:D256"/>
    <mergeCell ref="F255:F256"/>
    <mergeCell ref="G255:G256"/>
    <mergeCell ref="K249:K250"/>
    <mergeCell ref="E238:E243"/>
    <mergeCell ref="B247:B248"/>
    <mergeCell ref="D247:D248"/>
    <mergeCell ref="I247:I248"/>
    <mergeCell ref="J247:J248"/>
    <mergeCell ref="K247:K248"/>
    <mergeCell ref="H251:H252"/>
    <mergeCell ref="A238:A243"/>
    <mergeCell ref="H249:H250"/>
    <mergeCell ref="G238:G243"/>
    <mergeCell ref="H238:H243"/>
    <mergeCell ref="A244:A246"/>
    <mergeCell ref="C253:C254"/>
    <mergeCell ref="D253:D254"/>
    <mergeCell ref="E253:E254"/>
    <mergeCell ref="A255:A256"/>
    <mergeCell ref="A259:A260"/>
    <mergeCell ref="B259:B260"/>
    <mergeCell ref="A251:A252"/>
    <mergeCell ref="B251:B252"/>
    <mergeCell ref="C251:C252"/>
    <mergeCell ref="D251:D252"/>
    <mergeCell ref="E251:E252"/>
    <mergeCell ref="F251:F252"/>
    <mergeCell ref="G251:G252"/>
    <mergeCell ref="A249:A250"/>
    <mergeCell ref="B249:B250"/>
    <mergeCell ref="L249:L250"/>
    <mergeCell ref="A261:A264"/>
    <mergeCell ref="B261:B264"/>
    <mergeCell ref="E261:E264"/>
    <mergeCell ref="F261:F264"/>
    <mergeCell ref="C259:C260"/>
    <mergeCell ref="F253:F254"/>
    <mergeCell ref="G253:G254"/>
    <mergeCell ref="H253:H254"/>
    <mergeCell ref="C255:C256"/>
    <mergeCell ref="K265:K266"/>
    <mergeCell ref="L261:L264"/>
    <mergeCell ref="L265:L266"/>
    <mergeCell ref="D249:D250"/>
    <mergeCell ref="E249:E250"/>
    <mergeCell ref="L269:L270"/>
    <mergeCell ref="K273:K274"/>
    <mergeCell ref="C271:C272"/>
    <mergeCell ref="D271:D272"/>
    <mergeCell ref="E271:E272"/>
    <mergeCell ref="F271:F272"/>
    <mergeCell ref="G271:G272"/>
    <mergeCell ref="H271:H272"/>
    <mergeCell ref="E247:E248"/>
    <mergeCell ref="F247:F248"/>
    <mergeCell ref="L247:L248"/>
    <mergeCell ref="H269:H270"/>
    <mergeCell ref="I269:I270"/>
    <mergeCell ref="J269:J270"/>
    <mergeCell ref="K269:K270"/>
    <mergeCell ref="K251:K252"/>
    <mergeCell ref="L251:L252"/>
    <mergeCell ref="E259:E260"/>
    <mergeCell ref="F259:F260"/>
    <mergeCell ref="G259:G260"/>
    <mergeCell ref="H259:H260"/>
    <mergeCell ref="I259:I260"/>
    <mergeCell ref="C249:C250"/>
    <mergeCell ref="F249:F250"/>
    <mergeCell ref="C247:C248"/>
    <mergeCell ref="I271:I272"/>
    <mergeCell ref="J271:J272"/>
    <mergeCell ref="G289:G290"/>
    <mergeCell ref="H289:H290"/>
    <mergeCell ref="I289:I290"/>
    <mergeCell ref="J289:J290"/>
    <mergeCell ref="K289:K290"/>
    <mergeCell ref="L289:L290"/>
    <mergeCell ref="J259:J260"/>
    <mergeCell ref="K259:K260"/>
    <mergeCell ref="J273:J274"/>
    <mergeCell ref="A267:A268"/>
    <mergeCell ref="B267:B268"/>
    <mergeCell ref="E267:E268"/>
    <mergeCell ref="F267:F268"/>
    <mergeCell ref="G267:G268"/>
    <mergeCell ref="H267:H268"/>
    <mergeCell ref="L267:L268"/>
    <mergeCell ref="A269:A270"/>
    <mergeCell ref="B269:B270"/>
    <mergeCell ref="C269:C270"/>
    <mergeCell ref="D269:D270"/>
    <mergeCell ref="E269:E270"/>
    <mergeCell ref="F269:F270"/>
    <mergeCell ref="G269:G270"/>
    <mergeCell ref="A287:A288"/>
    <mergeCell ref="B287:B288"/>
    <mergeCell ref="G287:G288"/>
    <mergeCell ref="A289:A290"/>
    <mergeCell ref="B289:B290"/>
    <mergeCell ref="C289:C290"/>
    <mergeCell ref="D289:D290"/>
    <mergeCell ref="I265:I266"/>
    <mergeCell ref="J265:J266"/>
    <mergeCell ref="G295:G296"/>
    <mergeCell ref="H295:H296"/>
    <mergeCell ref="L295:L296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G293:G294"/>
    <mergeCell ref="A295:A296"/>
    <mergeCell ref="B295:B296"/>
    <mergeCell ref="H293:H294"/>
    <mergeCell ref="L293:L294"/>
    <mergeCell ref="L301:L302"/>
    <mergeCell ref="A303:A304"/>
    <mergeCell ref="B303:B304"/>
    <mergeCell ref="F303:F304"/>
    <mergeCell ref="G303:G304"/>
    <mergeCell ref="A323:A329"/>
    <mergeCell ref="B323:B329"/>
    <mergeCell ref="E323:E329"/>
    <mergeCell ref="F323:F329"/>
    <mergeCell ref="G323:G329"/>
    <mergeCell ref="H323:H329"/>
    <mergeCell ref="L323:L329"/>
    <mergeCell ref="C301:C302"/>
    <mergeCell ref="D301:D302"/>
    <mergeCell ref="I301:I302"/>
    <mergeCell ref="J301:J302"/>
    <mergeCell ref="G301:G302"/>
    <mergeCell ref="H301:H302"/>
    <mergeCell ref="A307:A308"/>
    <mergeCell ref="B307:B308"/>
    <mergeCell ref="C307:C308"/>
    <mergeCell ref="D307:D308"/>
    <mergeCell ref="E307:E308"/>
    <mergeCell ref="F307:F308"/>
    <mergeCell ref="H305:H306"/>
    <mergeCell ref="G307:G308"/>
    <mergeCell ref="H307:H308"/>
    <mergeCell ref="I307:I308"/>
    <mergeCell ref="J307:J308"/>
    <mergeCell ref="H303:H304"/>
    <mergeCell ref="F309:F310"/>
    <mergeCell ref="G309:G310"/>
  </mergeCells>
  <pageMargins left="0.7" right="0.7" top="0.75" bottom="0.75" header="0.3" footer="0.3"/>
  <pageSetup paperSize="9"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AYHAN ÖZALP</cp:lastModifiedBy>
  <cp:lastPrinted>2018-09-18T11:08:20Z</cp:lastPrinted>
  <dcterms:created xsi:type="dcterms:W3CDTF">2012-06-18T12:11:29Z</dcterms:created>
  <dcterms:modified xsi:type="dcterms:W3CDTF">2019-11-28T12:22:27Z</dcterms:modified>
</cp:coreProperties>
</file>