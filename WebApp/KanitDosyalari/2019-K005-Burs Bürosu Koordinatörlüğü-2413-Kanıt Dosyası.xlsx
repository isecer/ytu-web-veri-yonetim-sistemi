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ask\Desktop\"/>
    </mc:Choice>
  </mc:AlternateContent>
  <bookViews>
    <workbookView xWindow="0" yWindow="0" windowWidth="20490" windowHeight="7755"/>
  </bookViews>
  <sheets>
    <sheet name="Sayfa1" sheetId="1" r:id="rId1"/>
    <sheet name="Sayfa2" sheetId="2" r:id="rId2"/>
    <sheet name="Sayfa3" sheetId="3" r:id="rId3"/>
  </sheets>
  <calcPr calcId="152511"/>
</workbook>
</file>

<file path=xl/calcChain.xml><?xml version="1.0" encoding="utf-8"?>
<calcChain xmlns="http://schemas.openxmlformats.org/spreadsheetml/2006/main">
  <c r="F77" i="1" l="1"/>
  <c r="F76" i="1"/>
  <c r="F66" i="1" l="1"/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7" i="1"/>
  <c r="F68" i="1"/>
  <c r="F69" i="1"/>
  <c r="F70" i="1"/>
  <c r="F71" i="1"/>
  <c r="F72" i="1"/>
  <c r="F73" i="1"/>
  <c r="F74" i="1"/>
  <c r="F75" i="1"/>
  <c r="C78" i="1" l="1"/>
  <c r="C1048576" i="1" s="1"/>
  <c r="F3" i="1" l="1"/>
</calcChain>
</file>

<file path=xl/sharedStrings.xml><?xml version="1.0" encoding="utf-8"?>
<sst xmlns="http://schemas.openxmlformats.org/spreadsheetml/2006/main" count="84" uniqueCount="83">
  <si>
    <t>VAKIF İSİMİ</t>
  </si>
  <si>
    <t>KİŞİ SAYISI</t>
  </si>
  <si>
    <t>MİKTAR</t>
  </si>
  <si>
    <t>AY</t>
  </si>
  <si>
    <t>YILLIK BURS MİKTARI</t>
  </si>
  <si>
    <t>BEREKET VAKFI</t>
  </si>
  <si>
    <t>ÇYD</t>
  </si>
  <si>
    <t>ENCORE</t>
  </si>
  <si>
    <t>İSKAV (400* 9 AY)</t>
  </si>
  <si>
    <t>İSTANBUL SANAYİ ODASI VAKFI</t>
  </si>
  <si>
    <t>İSTANBUL TİCARET BORSASI</t>
  </si>
  <si>
    <t xml:space="preserve">İTO </t>
  </si>
  <si>
    <t xml:space="preserve">KALE SERAMİK VAKFI </t>
  </si>
  <si>
    <t>LİMAK ŞİRKETİ</t>
  </si>
  <si>
    <t>MEHMET ZORLU V.</t>
  </si>
  <si>
    <t>MERSİN LİSELİLER DERNEĞİ</t>
  </si>
  <si>
    <t>MUŞ EĞİTİM VE KALKINMA VAKFI</t>
  </si>
  <si>
    <t>RÖNASANS EĞİTİM VAKFI</t>
  </si>
  <si>
    <t>SANCAKLAR AĞİTİM,SAĞLIK,KÜLTÜR VE SOSYAL YARDIMLAŞMA V.</t>
  </si>
  <si>
    <t xml:space="preserve">TADEV  </t>
  </si>
  <si>
    <t xml:space="preserve">TEV </t>
  </si>
  <si>
    <t xml:space="preserve">TOPLUM GÖNÜLLERİ VAKFI </t>
  </si>
  <si>
    <t xml:space="preserve"> TÜRK PETROL VAKFI</t>
  </si>
  <si>
    <t xml:space="preserve"> YILDIZ VAKFI BURSU</t>
  </si>
  <si>
    <t>YILDIZ YURT BURSU</t>
  </si>
  <si>
    <t xml:space="preserve">1884 VAKFI </t>
  </si>
  <si>
    <t>TOPLAM BURSİYER SAYISI</t>
  </si>
  <si>
    <t xml:space="preserve">Ahmet ve Nezahat Keleşoğlu V. </t>
  </si>
  <si>
    <t>ATOSEV</t>
  </si>
  <si>
    <t>AKTİF GROUP</t>
  </si>
  <si>
    <t>CENGİZ VAKFI</t>
  </si>
  <si>
    <t xml:space="preserve">ÇEV </t>
  </si>
  <si>
    <t>Çamlıca Kültür ve Yardım Vakfı</t>
  </si>
  <si>
    <t>ÇELİKEL VAKFI</t>
  </si>
  <si>
    <t xml:space="preserve">ÇEVRE KOLEJİ V.  </t>
  </si>
  <si>
    <t>EĞET  VAKFI</t>
  </si>
  <si>
    <t xml:space="preserve">ELGİNKAN V. </t>
  </si>
  <si>
    <t xml:space="preserve">ÇYDD </t>
  </si>
  <si>
    <t xml:space="preserve">ERDOĞMUŞ PARFÜMERİ  </t>
  </si>
  <si>
    <t>ESKİŞEHİR SAN. ODASI</t>
  </si>
  <si>
    <t xml:space="preserve">EYÜP DOSTLARI VAKFI </t>
  </si>
  <si>
    <t xml:space="preserve">GENÇLİK VE KÜLTÜR VAKFI  (IRMAK OKULLARI) </t>
  </si>
  <si>
    <t xml:space="preserve">HASEKİ KADIN VAKFI   </t>
  </si>
  <si>
    <t xml:space="preserve">HÜSNÜ ÖZYEĞİN </t>
  </si>
  <si>
    <t xml:space="preserve">İTO EĞİTİM VE SOSYAL HİZ. V.  </t>
  </si>
  <si>
    <t xml:space="preserve"> KAYSERİ İLİ YARDIM DERNEĞİ (kayder)</t>
  </si>
  <si>
    <t>KESKİNKILIÇ GID.SAN.</t>
  </si>
  <si>
    <t xml:space="preserve">KOCAELİ TİCARET ODASI </t>
  </si>
  <si>
    <t>KOLOĞLU TİC.</t>
  </si>
  <si>
    <t xml:space="preserve">KONYALILAR DERNEĞİ  </t>
  </si>
  <si>
    <t>KORUMA YAŞATMA D.</t>
  </si>
  <si>
    <t xml:space="preserve">MED-MARINE HOLDING </t>
  </si>
  <si>
    <t xml:space="preserve">MERSİN DENİZ TİCARET ODASI V.  </t>
  </si>
  <si>
    <t>NEF VAKFI</t>
  </si>
  <si>
    <t xml:space="preserve">NİMET ÖZDEN CAMİİ ŞERİFLERİ V. </t>
  </si>
  <si>
    <t>NOTERLER BİRLİĞİ</t>
  </si>
  <si>
    <t>NURAL  VAKFI</t>
  </si>
  <si>
    <t xml:space="preserve"> RUMELİ EĞİTİM VAKFI </t>
  </si>
  <si>
    <t xml:space="preserve">SABANCI V. </t>
  </si>
  <si>
    <t xml:space="preserve">ŞAHİNLER HOLDİNG  </t>
  </si>
  <si>
    <t>T.LOYDU ( LİSANS )</t>
  </si>
  <si>
    <t xml:space="preserve">T.LOYDU BURSİYERLERİ   (DOKTORA) </t>
  </si>
  <si>
    <t>TESYEV</t>
  </si>
  <si>
    <t>TURİNG BURSLARI(LİSANS )</t>
  </si>
  <si>
    <t>TURİNG BURSLARI(DOKTORA)</t>
  </si>
  <si>
    <t>TÜBİTAK(LİSANS)</t>
  </si>
  <si>
    <t>TÜBİTAK(Y.LİSANS)</t>
  </si>
  <si>
    <t>TÜBİTAK(DOKTORA)</t>
  </si>
  <si>
    <t>No</t>
  </si>
  <si>
    <t>YENİ DÜNYA VAKFI (LİSANS)</t>
  </si>
  <si>
    <t>YENİ DÜNYA VAKFI (YÜKSEK LİSANS)</t>
  </si>
  <si>
    <t>YENİ DÜNYA VAKFI (DOKTORA)</t>
  </si>
  <si>
    <t>YILDIZ YEMEK BURSU</t>
  </si>
  <si>
    <t>TÜRKİYE BURSLULARI</t>
  </si>
  <si>
    <t>TÜRKİYE MİLLİ KÜLTÜR VAKFI (LİSANS)</t>
  </si>
  <si>
    <t>TÜRKİYE MİLLİ KÜLTÜR VAKFI (Y.L)</t>
  </si>
  <si>
    <t>TÜRKİYE MİLLİ KÜLTÜR VAKFI (DOKTORA)</t>
  </si>
  <si>
    <t>KYK (Doktora)</t>
  </si>
  <si>
    <t>KYK (Y.L)</t>
  </si>
  <si>
    <t>KYK (Lisans)</t>
  </si>
  <si>
    <t xml:space="preserve">VAKIFBANK </t>
  </si>
  <si>
    <t>SAKARYA TİC.BORSASI</t>
  </si>
  <si>
    <t>ÇORUM HİTİT VAKFI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</si>
</sst>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9"/>
      <name val="Arial"/>
      <family val="2"/>
      <charset val="162"/>
    </font>
    <font>
      <b/>
      <sz val="11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0" fillId="0" borderId="1" xfId="0" applyBorder="1"/>
    <xf numFmtId="0" fontId="2" fillId="0" borderId="1" xfId="0" applyFont="1" applyBorder="1"/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5" fillId="2" borderId="1" xfId="0" applyFont="1" applyFill="1" applyBorder="1"/>
    <xf numFmtId="0" fontId="7" fillId="0" borderId="0" xfId="0" applyFont="1"/>
    <xf numFmtId="0" fontId="1" fillId="3" borderId="1" xfId="0" applyFont="1" applyFill="1" applyBorder="1"/>
    <xf numFmtId="0" fontId="0" fillId="3" borderId="1" xfId="0" applyFill="1" applyBorder="1"/>
    <xf numFmtId="0" fontId="3" fillId="3" borderId="1" xfId="0" applyFont="1" applyFill="1" applyBorder="1"/>
    <xf numFmtId="0" fontId="2" fillId="2" borderId="1" xfId="0" applyFont="1" applyFill="1" applyBorder="1"/>
    <xf numFmtId="0" fontId="5" fillId="0" borderId="2" xfId="0" applyFont="1" applyFill="1" applyBorder="1"/>
    <xf numFmtId="0" fontId="2" fillId="3" borderId="1" xfId="0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48576"/>
  <sheetViews>
    <sheetView tabSelected="1" topLeftCell="B4" zoomScale="120" zoomScaleNormal="120" workbookViewId="0">
      <selection activeCell="C37" sqref="C37"/>
    </sheetView>
  </sheetViews>
  <sheetFormatPr defaultRowHeight="15" x14ac:dyDescent="0.25"/>
  <cols>
    <col min="1" max="1" width="3.5703125" customWidth="1"/>
    <col min="2" max="2" width="42.28515625" customWidth="1"/>
    <col min="3" max="3" width="8.140625" customWidth="1"/>
    <col min="4" max="4" width="5.28515625" customWidth="1"/>
    <col min="5" max="5" width="4" customWidth="1"/>
    <col min="6" max="6" width="16.28515625" bestFit="1" customWidth="1"/>
  </cols>
  <sheetData>
    <row r="2" spans="1:6" s="2" customFormat="1" x14ac:dyDescent="0.25">
      <c r="A2" s="3" t="s">
        <v>68</v>
      </c>
      <c r="B2" s="3" t="s">
        <v>0</v>
      </c>
      <c r="C2" s="8" t="s">
        <v>1</v>
      </c>
      <c r="D2" s="8" t="s">
        <v>2</v>
      </c>
      <c r="E2" s="8" t="s">
        <v>3</v>
      </c>
      <c r="F2" s="8" t="s">
        <v>4</v>
      </c>
    </row>
    <row r="3" spans="1:6" x14ac:dyDescent="0.25">
      <c r="A3" s="4">
        <v>1</v>
      </c>
      <c r="B3" s="5" t="s">
        <v>27</v>
      </c>
      <c r="C3" s="5">
        <v>9</v>
      </c>
      <c r="D3" s="5">
        <v>275</v>
      </c>
      <c r="E3" s="5">
        <v>8</v>
      </c>
      <c r="F3" s="4">
        <f>C3*D3*E3</f>
        <v>19800</v>
      </c>
    </row>
    <row r="4" spans="1:6" x14ac:dyDescent="0.25">
      <c r="A4" s="4">
        <v>2</v>
      </c>
      <c r="B4" s="5" t="s">
        <v>28</v>
      </c>
      <c r="C4" s="5">
        <v>10</v>
      </c>
      <c r="D4" s="5">
        <v>150</v>
      </c>
      <c r="E4" s="5">
        <v>8</v>
      </c>
      <c r="F4" s="4">
        <f t="shared" ref="F4:F68" si="0">C4*D4*E4</f>
        <v>12000</v>
      </c>
    </row>
    <row r="5" spans="1:6" x14ac:dyDescent="0.25">
      <c r="A5" s="4">
        <v>3</v>
      </c>
      <c r="B5" s="7" t="s">
        <v>29</v>
      </c>
      <c r="C5" s="7">
        <v>1</v>
      </c>
      <c r="D5" s="5">
        <v>250</v>
      </c>
      <c r="E5" s="5">
        <v>8</v>
      </c>
      <c r="F5" s="4">
        <f t="shared" si="0"/>
        <v>2000</v>
      </c>
    </row>
    <row r="6" spans="1:6" x14ac:dyDescent="0.25">
      <c r="A6" s="4">
        <v>4</v>
      </c>
      <c r="B6" s="5" t="s">
        <v>5</v>
      </c>
      <c r="C6" s="5">
        <v>34</v>
      </c>
      <c r="D6" s="5">
        <v>400</v>
      </c>
      <c r="E6" s="5">
        <v>9</v>
      </c>
      <c r="F6" s="4">
        <f t="shared" si="0"/>
        <v>122400</v>
      </c>
    </row>
    <row r="7" spans="1:6" x14ac:dyDescent="0.25">
      <c r="A7" s="4">
        <v>5</v>
      </c>
      <c r="B7" s="5" t="s">
        <v>31</v>
      </c>
      <c r="C7" s="5">
        <v>22</v>
      </c>
      <c r="D7" s="5">
        <v>200</v>
      </c>
      <c r="E7" s="5">
        <v>10</v>
      </c>
      <c r="F7" s="4">
        <f t="shared" si="0"/>
        <v>44000</v>
      </c>
    </row>
    <row r="8" spans="1:6" x14ac:dyDescent="0.25">
      <c r="A8" s="4">
        <v>6</v>
      </c>
      <c r="B8" s="5" t="s">
        <v>6</v>
      </c>
      <c r="C8" s="5">
        <v>30</v>
      </c>
      <c r="D8" s="5">
        <v>300</v>
      </c>
      <c r="E8" s="5">
        <v>9</v>
      </c>
      <c r="F8" s="4">
        <f t="shared" si="0"/>
        <v>81000</v>
      </c>
    </row>
    <row r="9" spans="1:6" x14ac:dyDescent="0.25">
      <c r="A9" s="4">
        <v>7</v>
      </c>
      <c r="B9" s="5" t="s">
        <v>32</v>
      </c>
      <c r="C9" s="5">
        <v>31</v>
      </c>
      <c r="D9" s="5">
        <v>400</v>
      </c>
      <c r="E9" s="5">
        <v>9</v>
      </c>
      <c r="F9" s="4">
        <f t="shared" si="0"/>
        <v>111600</v>
      </c>
    </row>
    <row r="10" spans="1:6" x14ac:dyDescent="0.25">
      <c r="A10" s="4">
        <v>8</v>
      </c>
      <c r="B10" s="5" t="s">
        <v>33</v>
      </c>
      <c r="C10" s="5">
        <v>1</v>
      </c>
      <c r="D10" s="5">
        <v>650</v>
      </c>
      <c r="E10" s="5">
        <v>12</v>
      </c>
      <c r="F10" s="4">
        <f t="shared" si="0"/>
        <v>7800</v>
      </c>
    </row>
    <row r="11" spans="1:6" x14ac:dyDescent="0.25">
      <c r="A11" s="4">
        <v>9</v>
      </c>
      <c r="B11" s="5" t="s">
        <v>30</v>
      </c>
      <c r="C11" s="5">
        <v>8</v>
      </c>
      <c r="D11" s="5">
        <v>650</v>
      </c>
      <c r="E11" s="15">
        <v>9</v>
      </c>
      <c r="F11" s="4">
        <f t="shared" si="0"/>
        <v>46800</v>
      </c>
    </row>
    <row r="12" spans="1:6" x14ac:dyDescent="0.25">
      <c r="A12" s="4">
        <v>10</v>
      </c>
      <c r="B12" s="5" t="s">
        <v>34</v>
      </c>
      <c r="C12" s="5">
        <v>4</v>
      </c>
      <c r="D12" s="5">
        <v>280</v>
      </c>
      <c r="E12" s="5">
        <v>10</v>
      </c>
      <c r="F12" s="4">
        <f t="shared" si="0"/>
        <v>11200</v>
      </c>
    </row>
    <row r="13" spans="1:6" x14ac:dyDescent="0.25">
      <c r="A13" s="4">
        <v>11</v>
      </c>
      <c r="B13" s="5" t="s">
        <v>37</v>
      </c>
      <c r="C13" s="5">
        <v>163</v>
      </c>
      <c r="D13" s="5">
        <v>200</v>
      </c>
      <c r="E13" s="5">
        <v>10</v>
      </c>
      <c r="F13" s="4">
        <f t="shared" si="0"/>
        <v>326000</v>
      </c>
    </row>
    <row r="14" spans="1:6" s="11" customFormat="1" x14ac:dyDescent="0.25">
      <c r="A14" s="4">
        <v>12</v>
      </c>
      <c r="B14" s="9" t="s">
        <v>35</v>
      </c>
      <c r="C14" s="9">
        <v>1</v>
      </c>
      <c r="D14" s="7">
        <v>350</v>
      </c>
      <c r="E14" s="7">
        <v>9</v>
      </c>
      <c r="F14" s="4">
        <f t="shared" si="0"/>
        <v>3150</v>
      </c>
    </row>
    <row r="15" spans="1:6" x14ac:dyDescent="0.25">
      <c r="A15" s="4">
        <v>13</v>
      </c>
      <c r="B15" s="5" t="s">
        <v>36</v>
      </c>
      <c r="C15" s="5">
        <v>22</v>
      </c>
      <c r="D15" s="5">
        <v>400</v>
      </c>
      <c r="E15" s="5">
        <v>12</v>
      </c>
      <c r="F15" s="4">
        <f t="shared" si="0"/>
        <v>105600</v>
      </c>
    </row>
    <row r="16" spans="1:6" s="11" customFormat="1" x14ac:dyDescent="0.25">
      <c r="A16" s="4">
        <v>14</v>
      </c>
      <c r="B16" s="10" t="s">
        <v>7</v>
      </c>
      <c r="C16" s="7">
        <v>5</v>
      </c>
      <c r="D16" s="7">
        <v>600</v>
      </c>
      <c r="E16" s="7">
        <v>9</v>
      </c>
      <c r="F16" s="4">
        <f t="shared" si="0"/>
        <v>27000</v>
      </c>
    </row>
    <row r="17" spans="1:6" x14ac:dyDescent="0.25">
      <c r="A17" s="4">
        <v>15</v>
      </c>
      <c r="B17" s="5" t="s">
        <v>38</v>
      </c>
      <c r="C17" s="5">
        <v>6</v>
      </c>
      <c r="D17" s="5">
        <v>600</v>
      </c>
      <c r="E17" s="5">
        <v>9</v>
      </c>
      <c r="F17" s="4">
        <f t="shared" si="0"/>
        <v>32400</v>
      </c>
    </row>
    <row r="18" spans="1:6" x14ac:dyDescent="0.25">
      <c r="A18" s="4">
        <v>16</v>
      </c>
      <c r="B18" s="5" t="s">
        <v>39</v>
      </c>
      <c r="C18" s="5">
        <v>2</v>
      </c>
      <c r="D18" s="5">
        <v>240</v>
      </c>
      <c r="E18" s="5">
        <v>9</v>
      </c>
      <c r="F18" s="4">
        <f t="shared" si="0"/>
        <v>4320</v>
      </c>
    </row>
    <row r="19" spans="1:6" s="1" customFormat="1" x14ac:dyDescent="0.25">
      <c r="A19" s="4">
        <v>17</v>
      </c>
      <c r="B19" s="5" t="s">
        <v>40</v>
      </c>
      <c r="C19" s="5">
        <v>3</v>
      </c>
      <c r="D19" s="5">
        <v>150</v>
      </c>
      <c r="E19" s="5">
        <v>9</v>
      </c>
      <c r="F19" s="4">
        <f t="shared" si="0"/>
        <v>4050</v>
      </c>
    </row>
    <row r="20" spans="1:6" x14ac:dyDescent="0.25">
      <c r="A20" s="4">
        <v>18</v>
      </c>
      <c r="B20" s="6" t="s">
        <v>41</v>
      </c>
      <c r="C20" s="5">
        <v>11</v>
      </c>
      <c r="D20" s="5">
        <v>250</v>
      </c>
      <c r="E20" s="5">
        <v>8</v>
      </c>
      <c r="F20" s="4">
        <f t="shared" si="0"/>
        <v>22000</v>
      </c>
    </row>
    <row r="21" spans="1:6" x14ac:dyDescent="0.25">
      <c r="A21" s="4">
        <v>19</v>
      </c>
      <c r="B21" s="5" t="s">
        <v>42</v>
      </c>
      <c r="C21" s="5">
        <v>8</v>
      </c>
      <c r="D21" s="5">
        <v>200</v>
      </c>
      <c r="E21" s="5">
        <v>8</v>
      </c>
      <c r="F21" s="4">
        <f t="shared" si="0"/>
        <v>12800</v>
      </c>
    </row>
    <row r="22" spans="1:6" x14ac:dyDescent="0.25">
      <c r="A22" s="4">
        <v>20</v>
      </c>
      <c r="B22" s="7" t="s">
        <v>43</v>
      </c>
      <c r="C22" s="7">
        <v>1</v>
      </c>
      <c r="D22" s="7">
        <v>350</v>
      </c>
      <c r="E22" s="7">
        <v>10</v>
      </c>
      <c r="F22" s="4">
        <f t="shared" si="0"/>
        <v>3500</v>
      </c>
    </row>
    <row r="23" spans="1:6" s="1" customFormat="1" x14ac:dyDescent="0.25">
      <c r="A23" s="4">
        <v>21</v>
      </c>
      <c r="B23" s="5" t="s">
        <v>8</v>
      </c>
      <c r="C23" s="5">
        <v>9</v>
      </c>
      <c r="D23" s="5">
        <v>500</v>
      </c>
      <c r="E23" s="5">
        <v>9</v>
      </c>
      <c r="F23" s="4">
        <f t="shared" si="0"/>
        <v>40500</v>
      </c>
    </row>
    <row r="24" spans="1:6" s="11" customFormat="1" x14ac:dyDescent="0.25">
      <c r="A24" s="4">
        <v>22</v>
      </c>
      <c r="B24" s="7" t="s">
        <v>9</v>
      </c>
      <c r="C24" s="7">
        <v>60</v>
      </c>
      <c r="D24" s="7">
        <v>450</v>
      </c>
      <c r="E24" s="7">
        <v>9</v>
      </c>
      <c r="F24" s="4">
        <f t="shared" si="0"/>
        <v>243000</v>
      </c>
    </row>
    <row r="25" spans="1:6" x14ac:dyDescent="0.25">
      <c r="A25" s="4">
        <v>23</v>
      </c>
      <c r="B25" s="5" t="s">
        <v>10</v>
      </c>
      <c r="C25" s="5">
        <v>20</v>
      </c>
      <c r="D25" s="5">
        <v>350</v>
      </c>
      <c r="E25" s="5">
        <v>9</v>
      </c>
      <c r="F25" s="4">
        <f t="shared" si="0"/>
        <v>63000</v>
      </c>
    </row>
    <row r="26" spans="1:6" s="1" customFormat="1" x14ac:dyDescent="0.25">
      <c r="A26" s="4">
        <v>24</v>
      </c>
      <c r="B26" s="5" t="s">
        <v>11</v>
      </c>
      <c r="C26" s="5">
        <v>77</v>
      </c>
      <c r="D26" s="5">
        <v>665</v>
      </c>
      <c r="E26" s="5">
        <v>9</v>
      </c>
      <c r="F26" s="4">
        <f t="shared" si="0"/>
        <v>460845</v>
      </c>
    </row>
    <row r="27" spans="1:6" s="1" customFormat="1" x14ac:dyDescent="0.25">
      <c r="A27" s="4">
        <v>25</v>
      </c>
      <c r="B27" s="5" t="s">
        <v>44</v>
      </c>
      <c r="C27" s="5">
        <v>2</v>
      </c>
      <c r="D27" s="5">
        <v>350</v>
      </c>
      <c r="E27" s="5">
        <v>9</v>
      </c>
      <c r="F27" s="4">
        <f t="shared" si="0"/>
        <v>6300</v>
      </c>
    </row>
    <row r="28" spans="1:6" x14ac:dyDescent="0.25">
      <c r="A28" s="4">
        <v>26</v>
      </c>
      <c r="B28" s="5" t="s">
        <v>12</v>
      </c>
      <c r="C28" s="5">
        <v>20</v>
      </c>
      <c r="D28" s="5">
        <v>500</v>
      </c>
      <c r="E28" s="4">
        <v>9</v>
      </c>
      <c r="F28" s="4">
        <f t="shared" si="0"/>
        <v>90000</v>
      </c>
    </row>
    <row r="29" spans="1:6" x14ac:dyDescent="0.25">
      <c r="A29" s="4">
        <v>27</v>
      </c>
      <c r="B29" s="5" t="s">
        <v>45</v>
      </c>
      <c r="C29" s="5">
        <v>36</v>
      </c>
      <c r="D29" s="5">
        <v>300</v>
      </c>
      <c r="E29" s="5">
        <v>9</v>
      </c>
      <c r="F29" s="4">
        <f t="shared" si="0"/>
        <v>97200</v>
      </c>
    </row>
    <row r="30" spans="1:6" x14ac:dyDescent="0.25">
      <c r="A30" s="4">
        <v>28</v>
      </c>
      <c r="B30" s="5" t="s">
        <v>46</v>
      </c>
      <c r="C30" s="5">
        <v>1</v>
      </c>
      <c r="D30" s="5">
        <v>475</v>
      </c>
      <c r="E30" s="5">
        <v>8</v>
      </c>
      <c r="F30" s="4">
        <f t="shared" si="0"/>
        <v>3800</v>
      </c>
    </row>
    <row r="31" spans="1:6" x14ac:dyDescent="0.25">
      <c r="A31" s="4">
        <v>29</v>
      </c>
      <c r="B31" s="5" t="s">
        <v>47</v>
      </c>
      <c r="C31" s="5">
        <v>1</v>
      </c>
      <c r="D31" s="5">
        <v>250</v>
      </c>
      <c r="E31" s="5">
        <v>9</v>
      </c>
      <c r="F31" s="4">
        <f t="shared" si="0"/>
        <v>2250</v>
      </c>
    </row>
    <row r="32" spans="1:6" x14ac:dyDescent="0.25">
      <c r="A32" s="4">
        <v>30</v>
      </c>
      <c r="B32" s="5" t="s">
        <v>48</v>
      </c>
      <c r="C32" s="5">
        <v>2</v>
      </c>
      <c r="D32" s="5">
        <v>550</v>
      </c>
      <c r="E32" s="5">
        <v>9</v>
      </c>
      <c r="F32" s="4">
        <f t="shared" si="0"/>
        <v>9900</v>
      </c>
    </row>
    <row r="33" spans="1:6" x14ac:dyDescent="0.25">
      <c r="A33" s="4">
        <v>31</v>
      </c>
      <c r="B33" s="5" t="s">
        <v>49</v>
      </c>
      <c r="C33" s="5">
        <v>23</v>
      </c>
      <c r="D33" s="5">
        <v>350</v>
      </c>
      <c r="E33" s="5">
        <v>8</v>
      </c>
      <c r="F33" s="4">
        <f t="shared" si="0"/>
        <v>64400</v>
      </c>
    </row>
    <row r="34" spans="1:6" x14ac:dyDescent="0.25">
      <c r="A34" s="4">
        <v>32</v>
      </c>
      <c r="B34" s="5" t="s">
        <v>50</v>
      </c>
      <c r="C34" s="5">
        <v>20</v>
      </c>
      <c r="D34" s="5">
        <v>300</v>
      </c>
      <c r="E34" s="5">
        <v>4</v>
      </c>
      <c r="F34" s="4">
        <f t="shared" si="0"/>
        <v>24000</v>
      </c>
    </row>
    <row r="35" spans="1:6" x14ac:dyDescent="0.25">
      <c r="A35" s="4">
        <v>33</v>
      </c>
      <c r="B35" s="5" t="s">
        <v>13</v>
      </c>
      <c r="C35" s="5">
        <v>7</v>
      </c>
      <c r="D35" s="5">
        <v>600</v>
      </c>
      <c r="E35" s="5">
        <v>9</v>
      </c>
      <c r="F35" s="4">
        <f t="shared" si="0"/>
        <v>37800</v>
      </c>
    </row>
    <row r="36" spans="1:6" x14ac:dyDescent="0.25">
      <c r="A36" s="4">
        <v>34</v>
      </c>
      <c r="B36" s="5" t="s">
        <v>51</v>
      </c>
      <c r="C36" s="5">
        <v>2</v>
      </c>
      <c r="D36" s="5">
        <v>470</v>
      </c>
      <c r="E36" s="5">
        <v>9</v>
      </c>
      <c r="F36" s="4">
        <f t="shared" si="0"/>
        <v>8460</v>
      </c>
    </row>
    <row r="37" spans="1:6" s="11" customFormat="1" x14ac:dyDescent="0.25">
      <c r="A37" s="4">
        <v>35</v>
      </c>
      <c r="B37" s="7" t="s">
        <v>14</v>
      </c>
      <c r="C37" s="7">
        <v>17</v>
      </c>
      <c r="D37" s="7">
        <v>500</v>
      </c>
      <c r="E37" s="7">
        <v>9</v>
      </c>
      <c r="F37" s="4">
        <f t="shared" si="0"/>
        <v>76500</v>
      </c>
    </row>
    <row r="38" spans="1:6" x14ac:dyDescent="0.25">
      <c r="A38" s="4">
        <v>36</v>
      </c>
      <c r="B38" s="5" t="s">
        <v>15</v>
      </c>
      <c r="C38" s="5">
        <v>6</v>
      </c>
      <c r="D38" s="5">
        <v>250</v>
      </c>
      <c r="E38" s="5">
        <v>9</v>
      </c>
      <c r="F38" s="4">
        <f t="shared" si="0"/>
        <v>13500</v>
      </c>
    </row>
    <row r="39" spans="1:6" x14ac:dyDescent="0.25">
      <c r="A39" s="4">
        <v>37</v>
      </c>
      <c r="B39" s="5" t="s">
        <v>52</v>
      </c>
      <c r="C39" s="5">
        <v>1</v>
      </c>
      <c r="D39" s="5">
        <v>250</v>
      </c>
      <c r="E39" s="5">
        <v>9</v>
      </c>
      <c r="F39" s="4">
        <f t="shared" si="0"/>
        <v>2250</v>
      </c>
    </row>
    <row r="40" spans="1:6" x14ac:dyDescent="0.25">
      <c r="A40" s="4">
        <v>38</v>
      </c>
      <c r="B40" s="5" t="s">
        <v>16</v>
      </c>
      <c r="C40" s="5">
        <v>14</v>
      </c>
      <c r="D40" s="5">
        <v>200</v>
      </c>
      <c r="E40" s="5">
        <v>8</v>
      </c>
      <c r="F40" s="4">
        <f t="shared" si="0"/>
        <v>22400</v>
      </c>
    </row>
    <row r="41" spans="1:6" x14ac:dyDescent="0.25">
      <c r="A41" s="4">
        <v>39</v>
      </c>
      <c r="B41" s="5" t="s">
        <v>53</v>
      </c>
      <c r="C41" s="5">
        <v>16</v>
      </c>
      <c r="D41" s="5">
        <v>200</v>
      </c>
      <c r="E41" s="7">
        <v>9</v>
      </c>
      <c r="F41" s="4">
        <f t="shared" si="0"/>
        <v>28800</v>
      </c>
    </row>
    <row r="42" spans="1:6" x14ac:dyDescent="0.25">
      <c r="A42" s="4">
        <v>40</v>
      </c>
      <c r="B42" s="5" t="s">
        <v>54</v>
      </c>
      <c r="C42" s="5">
        <v>2</v>
      </c>
      <c r="D42" s="5">
        <v>450</v>
      </c>
      <c r="E42" s="5">
        <v>9</v>
      </c>
      <c r="F42" s="4">
        <f t="shared" si="0"/>
        <v>8100</v>
      </c>
    </row>
    <row r="43" spans="1:6" x14ac:dyDescent="0.25">
      <c r="A43" s="4">
        <v>41</v>
      </c>
      <c r="B43" s="5" t="s">
        <v>56</v>
      </c>
      <c r="C43" s="5">
        <v>3</v>
      </c>
      <c r="D43" s="5">
        <v>450</v>
      </c>
      <c r="E43" s="5">
        <v>9</v>
      </c>
      <c r="F43" s="4">
        <f t="shared" si="0"/>
        <v>12150</v>
      </c>
    </row>
    <row r="44" spans="1:6" x14ac:dyDescent="0.25">
      <c r="A44" s="4">
        <v>42</v>
      </c>
      <c r="B44" s="3" t="s">
        <v>55</v>
      </c>
      <c r="C44" s="5">
        <v>10</v>
      </c>
      <c r="D44" s="12"/>
      <c r="E44" s="12"/>
      <c r="F44" s="4">
        <f t="shared" si="0"/>
        <v>0</v>
      </c>
    </row>
    <row r="45" spans="1:6" x14ac:dyDescent="0.25">
      <c r="A45" s="4">
        <v>43</v>
      </c>
      <c r="B45" s="5" t="s">
        <v>17</v>
      </c>
      <c r="C45" s="5">
        <v>66</v>
      </c>
      <c r="D45" s="5">
        <v>400</v>
      </c>
      <c r="E45" s="5">
        <v>9</v>
      </c>
      <c r="F45" s="4">
        <f t="shared" si="0"/>
        <v>237600</v>
      </c>
    </row>
    <row r="46" spans="1:6" x14ac:dyDescent="0.25">
      <c r="A46" s="4">
        <v>44</v>
      </c>
      <c r="B46" s="5" t="s">
        <v>57</v>
      </c>
      <c r="C46" s="5">
        <v>2</v>
      </c>
      <c r="D46" s="5">
        <v>250</v>
      </c>
      <c r="E46" s="5">
        <v>8</v>
      </c>
      <c r="F46" s="4">
        <f t="shared" si="0"/>
        <v>4000</v>
      </c>
    </row>
    <row r="47" spans="1:6" x14ac:dyDescent="0.25">
      <c r="A47" s="4">
        <v>45</v>
      </c>
      <c r="B47" s="5" t="s">
        <v>58</v>
      </c>
      <c r="C47" s="5">
        <v>34</v>
      </c>
      <c r="D47" s="5">
        <v>600</v>
      </c>
      <c r="E47" s="5">
        <v>9</v>
      </c>
      <c r="F47" s="4">
        <f t="shared" si="0"/>
        <v>183600</v>
      </c>
    </row>
    <row r="48" spans="1:6" x14ac:dyDescent="0.25">
      <c r="A48" s="4">
        <v>46</v>
      </c>
      <c r="B48" s="5" t="s">
        <v>18</v>
      </c>
      <c r="C48" s="5">
        <v>12</v>
      </c>
      <c r="D48" s="5">
        <v>200</v>
      </c>
      <c r="E48" s="5">
        <v>8</v>
      </c>
      <c r="F48" s="4">
        <f t="shared" si="0"/>
        <v>19200</v>
      </c>
    </row>
    <row r="49" spans="1:6" x14ac:dyDescent="0.25">
      <c r="A49" s="4">
        <v>47</v>
      </c>
      <c r="B49" s="5" t="s">
        <v>59</v>
      </c>
      <c r="C49" s="5">
        <v>5</v>
      </c>
      <c r="D49" s="7">
        <v>250</v>
      </c>
      <c r="E49" s="7">
        <v>8</v>
      </c>
      <c r="F49" s="4">
        <f t="shared" si="0"/>
        <v>10000</v>
      </c>
    </row>
    <row r="50" spans="1:6" x14ac:dyDescent="0.25">
      <c r="A50" s="4">
        <v>48</v>
      </c>
      <c r="B50" s="5" t="s">
        <v>60</v>
      </c>
      <c r="C50" s="5">
        <v>29</v>
      </c>
      <c r="D50" s="5">
        <v>400</v>
      </c>
      <c r="E50" s="5">
        <v>9</v>
      </c>
      <c r="F50" s="4">
        <f t="shared" si="0"/>
        <v>104400</v>
      </c>
    </row>
    <row r="51" spans="1:6" x14ac:dyDescent="0.25">
      <c r="A51" s="4">
        <v>49</v>
      </c>
      <c r="B51" s="5" t="s">
        <v>61</v>
      </c>
      <c r="C51" s="5">
        <v>7</v>
      </c>
      <c r="D51" s="5">
        <v>600</v>
      </c>
      <c r="E51" s="5">
        <v>9</v>
      </c>
      <c r="F51" s="4">
        <f t="shared" si="0"/>
        <v>37800</v>
      </c>
    </row>
    <row r="52" spans="1:6" x14ac:dyDescent="0.25">
      <c r="A52" s="4">
        <v>50</v>
      </c>
      <c r="B52" s="5" t="s">
        <v>19</v>
      </c>
      <c r="C52" s="5">
        <v>10</v>
      </c>
      <c r="D52" s="5">
        <v>250</v>
      </c>
      <c r="E52" s="5">
        <v>8</v>
      </c>
      <c r="F52" s="4">
        <f t="shared" si="0"/>
        <v>20000</v>
      </c>
    </row>
    <row r="53" spans="1:6" x14ac:dyDescent="0.25">
      <c r="A53" s="4">
        <v>51</v>
      </c>
      <c r="B53" s="5" t="s">
        <v>62</v>
      </c>
      <c r="C53" s="5">
        <v>2</v>
      </c>
      <c r="D53" s="5">
        <v>400</v>
      </c>
      <c r="E53" s="5">
        <v>9</v>
      </c>
      <c r="F53" s="4">
        <f t="shared" si="0"/>
        <v>7200</v>
      </c>
    </row>
    <row r="54" spans="1:6" x14ac:dyDescent="0.25">
      <c r="A54" s="4">
        <v>52</v>
      </c>
      <c r="B54" s="7" t="s">
        <v>20</v>
      </c>
      <c r="C54" s="5">
        <v>138</v>
      </c>
      <c r="D54" s="5">
        <v>600</v>
      </c>
      <c r="E54" s="5">
        <v>9</v>
      </c>
      <c r="F54" s="4">
        <f t="shared" si="0"/>
        <v>745200</v>
      </c>
    </row>
    <row r="55" spans="1:6" x14ac:dyDescent="0.25">
      <c r="A55" s="4">
        <v>53</v>
      </c>
      <c r="B55" s="5" t="s">
        <v>21</v>
      </c>
      <c r="C55" s="5">
        <v>40</v>
      </c>
      <c r="D55" s="5">
        <v>290</v>
      </c>
      <c r="E55" s="5">
        <v>10</v>
      </c>
      <c r="F55" s="4">
        <f t="shared" si="0"/>
        <v>116000</v>
      </c>
    </row>
    <row r="56" spans="1:6" x14ac:dyDescent="0.25">
      <c r="A56" s="4">
        <v>54</v>
      </c>
      <c r="B56" s="5" t="s">
        <v>63</v>
      </c>
      <c r="C56" s="5">
        <v>4</v>
      </c>
      <c r="D56" s="5">
        <v>400</v>
      </c>
      <c r="E56" s="5">
        <v>8</v>
      </c>
      <c r="F56" s="4">
        <f t="shared" si="0"/>
        <v>12800</v>
      </c>
    </row>
    <row r="57" spans="1:6" x14ac:dyDescent="0.25">
      <c r="A57" s="4">
        <v>55</v>
      </c>
      <c r="B57" s="5" t="s">
        <v>64</v>
      </c>
      <c r="C57" s="5">
        <v>1</v>
      </c>
      <c r="D57" s="5">
        <v>1000</v>
      </c>
      <c r="E57" s="5">
        <v>8</v>
      </c>
      <c r="F57" s="4">
        <f t="shared" si="0"/>
        <v>8000</v>
      </c>
    </row>
    <row r="58" spans="1:6" x14ac:dyDescent="0.25">
      <c r="A58" s="4">
        <v>56</v>
      </c>
      <c r="B58" s="5" t="s">
        <v>65</v>
      </c>
      <c r="C58" s="5">
        <v>140</v>
      </c>
      <c r="D58" s="13"/>
      <c r="E58" s="13"/>
      <c r="F58" s="4">
        <f t="shared" si="0"/>
        <v>0</v>
      </c>
    </row>
    <row r="59" spans="1:6" x14ac:dyDescent="0.25">
      <c r="A59" s="4">
        <v>57</v>
      </c>
      <c r="B59" s="5" t="s">
        <v>66</v>
      </c>
      <c r="C59" s="7">
        <v>31</v>
      </c>
      <c r="D59" s="13"/>
      <c r="E59" s="13"/>
      <c r="F59" s="4">
        <f t="shared" si="0"/>
        <v>0</v>
      </c>
    </row>
    <row r="60" spans="1:6" x14ac:dyDescent="0.25">
      <c r="A60" s="4">
        <v>58</v>
      </c>
      <c r="B60" s="5" t="s">
        <v>67</v>
      </c>
      <c r="C60" s="5">
        <v>133</v>
      </c>
      <c r="D60" s="13"/>
      <c r="E60" s="13"/>
      <c r="F60" s="4">
        <f t="shared" si="0"/>
        <v>0</v>
      </c>
    </row>
    <row r="61" spans="1:6" x14ac:dyDescent="0.25">
      <c r="A61" s="4">
        <v>59</v>
      </c>
      <c r="B61" s="5" t="s">
        <v>74</v>
      </c>
      <c r="C61" s="5">
        <v>9</v>
      </c>
      <c r="D61" s="5">
        <v>300</v>
      </c>
      <c r="E61" s="5">
        <v>9</v>
      </c>
      <c r="F61" s="4">
        <f t="shared" si="0"/>
        <v>24300</v>
      </c>
    </row>
    <row r="62" spans="1:6" x14ac:dyDescent="0.25">
      <c r="A62" s="4">
        <v>60</v>
      </c>
      <c r="B62" s="5" t="s">
        <v>75</v>
      </c>
      <c r="C62" s="5">
        <v>2</v>
      </c>
      <c r="D62" s="5">
        <v>450</v>
      </c>
      <c r="E62" s="5">
        <v>9</v>
      </c>
      <c r="F62" s="4">
        <f t="shared" si="0"/>
        <v>8100</v>
      </c>
    </row>
    <row r="63" spans="1:6" x14ac:dyDescent="0.25">
      <c r="A63" s="4">
        <v>61</v>
      </c>
      <c r="B63" s="5" t="s">
        <v>76</v>
      </c>
      <c r="C63" s="5">
        <v>2</v>
      </c>
      <c r="D63" s="5">
        <v>600</v>
      </c>
      <c r="E63" s="5">
        <v>9</v>
      </c>
      <c r="F63" s="4">
        <f t="shared" si="0"/>
        <v>10800</v>
      </c>
    </row>
    <row r="64" spans="1:6" x14ac:dyDescent="0.25">
      <c r="A64" s="4">
        <v>62</v>
      </c>
      <c r="B64" s="5" t="s">
        <v>22</v>
      </c>
      <c r="C64" s="5">
        <v>9</v>
      </c>
      <c r="D64" s="5">
        <v>550</v>
      </c>
      <c r="E64" s="5">
        <v>9</v>
      </c>
      <c r="F64" s="4">
        <f t="shared" si="0"/>
        <v>44550</v>
      </c>
    </row>
    <row r="65" spans="1:6" x14ac:dyDescent="0.25">
      <c r="A65" s="4">
        <v>63</v>
      </c>
      <c r="B65" s="3" t="s">
        <v>73</v>
      </c>
      <c r="C65" s="5">
        <v>27</v>
      </c>
      <c r="D65" s="14"/>
      <c r="E65" s="14"/>
      <c r="F65" s="4">
        <f t="shared" si="0"/>
        <v>0</v>
      </c>
    </row>
    <row r="66" spans="1:6" x14ac:dyDescent="0.25">
      <c r="A66" s="4">
        <v>64</v>
      </c>
      <c r="B66" s="3" t="s">
        <v>80</v>
      </c>
      <c r="C66" s="5">
        <v>6</v>
      </c>
      <c r="D66" s="14"/>
      <c r="E66" s="14"/>
      <c r="F66" s="4">
        <f t="shared" si="0"/>
        <v>0</v>
      </c>
    </row>
    <row r="67" spans="1:6" x14ac:dyDescent="0.25">
      <c r="A67" s="4">
        <v>65</v>
      </c>
      <c r="B67" s="7" t="s">
        <v>69</v>
      </c>
      <c r="C67" s="7">
        <v>17</v>
      </c>
      <c r="D67" s="7">
        <v>200</v>
      </c>
      <c r="E67" s="7">
        <v>8</v>
      </c>
      <c r="F67" s="4">
        <f t="shared" si="0"/>
        <v>27200</v>
      </c>
    </row>
    <row r="68" spans="1:6" x14ac:dyDescent="0.25">
      <c r="A68" s="4">
        <v>66</v>
      </c>
      <c r="B68" s="7" t="s">
        <v>70</v>
      </c>
      <c r="C68" s="7">
        <v>2</v>
      </c>
      <c r="D68" s="7">
        <v>250</v>
      </c>
      <c r="E68" s="7">
        <v>8</v>
      </c>
      <c r="F68" s="4">
        <f t="shared" si="0"/>
        <v>4000</v>
      </c>
    </row>
    <row r="69" spans="1:6" ht="16.5" customHeight="1" x14ac:dyDescent="0.25">
      <c r="A69" s="4">
        <v>67</v>
      </c>
      <c r="B69" s="7" t="s">
        <v>71</v>
      </c>
      <c r="C69" s="7">
        <v>1</v>
      </c>
      <c r="D69" s="7">
        <v>250</v>
      </c>
      <c r="E69" s="7">
        <v>8</v>
      </c>
      <c r="F69" s="4">
        <f t="shared" ref="F69:F77" si="1">C69*D69*E69</f>
        <v>2000</v>
      </c>
    </row>
    <row r="70" spans="1:6" x14ac:dyDescent="0.25">
      <c r="A70" s="4">
        <v>68</v>
      </c>
      <c r="B70" s="5" t="s">
        <v>23</v>
      </c>
      <c r="C70" s="5">
        <v>0</v>
      </c>
      <c r="D70" s="5">
        <v>0</v>
      </c>
      <c r="E70" s="5">
        <v>0</v>
      </c>
      <c r="F70" s="4">
        <f t="shared" si="1"/>
        <v>0</v>
      </c>
    </row>
    <row r="71" spans="1:6" x14ac:dyDescent="0.25">
      <c r="A71" s="4">
        <v>69</v>
      </c>
      <c r="B71" s="7" t="s">
        <v>24</v>
      </c>
      <c r="C71" s="5">
        <v>17</v>
      </c>
      <c r="D71" s="5">
        <v>310</v>
      </c>
      <c r="E71" s="5">
        <v>9</v>
      </c>
      <c r="F71" s="4">
        <f t="shared" si="1"/>
        <v>47430</v>
      </c>
    </row>
    <row r="72" spans="1:6" x14ac:dyDescent="0.25">
      <c r="A72" s="4">
        <v>70</v>
      </c>
      <c r="B72" s="7" t="s">
        <v>24</v>
      </c>
      <c r="C72" s="5">
        <v>2</v>
      </c>
      <c r="D72" s="5">
        <v>425</v>
      </c>
      <c r="E72" s="5">
        <v>9</v>
      </c>
      <c r="F72" s="4">
        <f t="shared" si="1"/>
        <v>7650</v>
      </c>
    </row>
    <row r="73" spans="1:6" x14ac:dyDescent="0.25">
      <c r="A73" s="4">
        <v>71</v>
      </c>
      <c r="B73" s="7" t="s">
        <v>72</v>
      </c>
      <c r="C73" s="5">
        <v>600</v>
      </c>
      <c r="D73" s="14"/>
      <c r="E73" s="14"/>
      <c r="F73" s="4">
        <f t="shared" si="1"/>
        <v>0</v>
      </c>
    </row>
    <row r="74" spans="1:6" x14ac:dyDescent="0.25">
      <c r="A74" s="4">
        <v>72</v>
      </c>
      <c r="B74" s="5" t="s">
        <v>25</v>
      </c>
      <c r="C74" s="5">
        <v>9</v>
      </c>
      <c r="D74" s="5">
        <v>250</v>
      </c>
      <c r="E74" s="5">
        <v>9</v>
      </c>
      <c r="F74" s="4">
        <f t="shared" si="1"/>
        <v>20250</v>
      </c>
    </row>
    <row r="75" spans="1:6" x14ac:dyDescent="0.25">
      <c r="A75" s="4">
        <v>73</v>
      </c>
      <c r="B75" s="7" t="s">
        <v>79</v>
      </c>
      <c r="C75" s="7">
        <v>3147</v>
      </c>
      <c r="D75" s="7">
        <v>500</v>
      </c>
      <c r="E75" s="7">
        <v>12</v>
      </c>
      <c r="F75" s="4">
        <f t="shared" si="1"/>
        <v>18882000</v>
      </c>
    </row>
    <row r="76" spans="1:6" x14ac:dyDescent="0.25">
      <c r="A76" s="4">
        <v>74</v>
      </c>
      <c r="B76" s="7" t="s">
        <v>78</v>
      </c>
      <c r="C76" s="15">
        <v>25</v>
      </c>
      <c r="D76" s="5">
        <v>1000</v>
      </c>
      <c r="E76" s="5">
        <v>12</v>
      </c>
      <c r="F76" s="4">
        <f t="shared" si="1"/>
        <v>300000</v>
      </c>
    </row>
    <row r="77" spans="1:6" x14ac:dyDescent="0.25">
      <c r="A77" s="4">
        <v>75</v>
      </c>
      <c r="B77" s="7" t="s">
        <v>77</v>
      </c>
      <c r="C77" s="15">
        <v>33</v>
      </c>
      <c r="D77" s="5">
        <v>1500</v>
      </c>
      <c r="E77" s="5">
        <v>12</v>
      </c>
      <c r="F77" s="4">
        <f t="shared" si="1"/>
        <v>594000</v>
      </c>
    </row>
    <row r="78" spans="1:6" x14ac:dyDescent="0.25">
      <c r="A78" s="4"/>
      <c r="B78" s="17" t="s">
        <v>26</v>
      </c>
      <c r="C78" s="17">
        <f>SUM(C3:C75)</f>
        <v>5225</v>
      </c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B80" s="16" t="s">
        <v>81</v>
      </c>
      <c r="C80">
        <v>1</v>
      </c>
      <c r="D80" s="18"/>
      <c r="E80" s="18"/>
      <c r="F80" s="4"/>
    </row>
    <row r="81" spans="2:5" x14ac:dyDescent="0.25">
      <c r="B81" s="16" t="s">
        <v>82</v>
      </c>
      <c r="C81">
        <v>1</v>
      </c>
      <c r="D81" s="18"/>
      <c r="E81" s="18"/>
    </row>
    <row r="1048576" spans="3:3" x14ac:dyDescent="0.25">
      <c r="C1048576">
        <f>SUM(C78)</f>
        <v>5225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millisaray</dc:creator>
  <cp:lastModifiedBy>Alev Gümüş</cp:lastModifiedBy>
  <cp:lastPrinted>2019-05-17T08:21:08Z</cp:lastPrinted>
  <dcterms:created xsi:type="dcterms:W3CDTF">2019-05-14T11:51:10Z</dcterms:created>
  <dcterms:modified xsi:type="dcterms:W3CDTF">2019-11-14T08:30:19Z</dcterms:modified>
</cp:coreProperties>
</file>